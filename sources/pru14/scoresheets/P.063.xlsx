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.063 TAMBUN" sheetId="1" r:id="rId4"/>
  </sheets>
  <definedNames/>
  <calcPr/>
  <extLst>
    <ext uri="GoogleSheetsCustomDataVersion1">
      <go:sheetsCustomData xmlns:go="http://customooxmlschemas.google.com/" r:id="rId5" roundtripDataSignature="AMtx7mget0p7lx+3lQjNmXuzu9hXw/XafA=="/>
    </ext>
  </extLst>
</workbook>
</file>

<file path=xl/sharedStrings.xml><?xml version="1.0" encoding="utf-8"?>
<sst xmlns="http://schemas.openxmlformats.org/spreadsheetml/2006/main" count="318" uniqueCount="133">
  <si>
    <t>HELAIAN MATA (SCORESHEET) </t>
  </si>
  <si>
    <t>BAHAGIAN PILIHAN RAYA PARLIMEN: P.063 TAMBUN</t>
  </si>
  <si>
    <t>JUMLAH PEMILIH : 107,763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</si>
  <si>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</si>
  <si>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</si>
  <si>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</si>
  <si>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</si>
  <si>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</si>
  <si>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</si>
  <si>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</si>
  <si>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</si>
  <si>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SERI AHMAD HUSNI HANADZLAH</t>
  </si>
  <si>
    <t>AHMAD FAIZAL DATO' AZUMU</t>
  </si>
  <si>
    <t>USTAZ IBRAHIM ZAKARIA</t>
  </si>
  <si>
    <t>Jumlah Undian Oleh Pemilih</t>
  </si>
  <si>
    <t>UNDI POS</t>
  </si>
  <si>
    <t>UNDI AWAL </t>
  </si>
  <si>
    <t>BILIK MESYUARAT, BALAI POLIS MANJOI</t>
  </si>
  <si>
    <t>063/24/00</t>
  </si>
  <si>
    <t>DEWAN 1 BRIGED UTARA, ULU KINTA</t>
  </si>
  <si>
    <t>BILIK MESYUARAT, BALAI POLIS TAMBUN</t>
  </si>
  <si>
    <t>DEWAN JOHARI SELAN/PIYUNTUNAN BATALION KE-2, REJIMEN RENJER DIRAJA KEM SYED PUTRA</t>
  </si>
  <si>
    <t>TOTAL</t>
  </si>
  <si>
    <t>PEKAN CHEMOR </t>
  </si>
  <si>
    <t>SEKOLAH KEBANGSAAN HAJI MAHMUD</t>
  </si>
  <si>
    <t>063/23/01</t>
  </si>
  <si>
    <t>CHEMOR INDAH</t>
  </si>
  <si>
    <t>TADIKA PEI CHING, CHEMOR</t>
  </si>
  <si>
    <t>063/23/02</t>
  </si>
  <si>
    <t>KUALA KUANG </t>
  </si>
  <si>
    <t>SEKOLAH JENIS KEBANGSAAN (CINA) KUALA KUANG</t>
  </si>
  <si>
    <t>063/23/03</t>
  </si>
  <si>
    <t>KELABANG </t>
  </si>
  <si>
    <t>SEKOLAH JENIS KEBANGSAAN (TAMIL) KLEBANG</t>
  </si>
  <si>
    <t>063/23/04</t>
  </si>
  <si>
    <t>KAMPONG CHEPOR DALAM </t>
  </si>
  <si>
    <t>SEKOLAH KEBANGSAAN SERI KELEBANG</t>
  </si>
  <si>
    <t>063/23/05</t>
  </si>
  <si>
    <t>KAMPONG ULU CHEPOR </t>
  </si>
  <si>
    <t>SEKOLAH KEBANGSAAN CHEPOR</t>
  </si>
  <si>
    <t>063/23/06</t>
  </si>
  <si>
    <t>MERU RAYA </t>
  </si>
  <si>
    <t>063/23/07</t>
  </si>
  <si>
    <t>MERU </t>
  </si>
  <si>
    <t>SEKOLAH KEBANGSAAN JELAPANG</t>
  </si>
  <si>
    <t>063/23/08</t>
  </si>
  <si>
    <t>TAMAN JATI </t>
  </si>
  <si>
    <t>SEKOLAH KEBANGSAAN JATI</t>
  </si>
  <si>
    <t>063/23/09</t>
  </si>
  <si>
    <t>KAMPONG SUNGAI KATI </t>
  </si>
  <si>
    <t>SEKOLAH MENENGAH KEBANGSAAN RAJA PERMAISURI BAINUN</t>
  </si>
  <si>
    <t>063/23/10</t>
  </si>
  <si>
    <t>KAMPONG DATOK AHMAD SAID TAMBAHAN 2 SELATAN</t>
  </si>
  <si>
    <t>SEKOLAH KEBANGSAAN DATO' AHMAD SAID TAMBAHAN</t>
  </si>
  <si>
    <t>063/23/11</t>
  </si>
  <si>
    <t>KAMPONG DATOK AHMAD SAID TAMBAHAN 2 TENGAH </t>
  </si>
  <si>
    <t>063/23/12</t>
  </si>
  <si>
    <t>TUN TERANG </t>
  </si>
  <si>
    <t>SEKOLAH AGAMA RAKYAT TAUFIKIAH ISLAMIAH, JALAN TENGAS KG SUNGAI TAPAH TAMBAHAN</t>
  </si>
  <si>
    <t>063/23/13</t>
  </si>
  <si>
    <t>KAMPONG SUNGAI TAPAH </t>
  </si>
  <si>
    <t>SEKOLAH KEBANGSAAN MANJOI (DUA)</t>
  </si>
  <si>
    <t>063/23/14</t>
  </si>
  <si>
    <t>KAMPONG SEBERANG MANJOI </t>
  </si>
  <si>
    <t>SEKOLAH KEBANGSAAN MANJOI (SATU)</t>
  </si>
  <si>
    <t>063/23/15</t>
  </si>
  <si>
    <t>KAMPONG TENGKU HUSSEIN </t>
  </si>
  <si>
    <t>SEKOLAH AGAMA RAKYAT ITTIHADIAH, KPG. TENGKU HUSSEIN BARU</t>
  </si>
  <si>
    <t>063/23/16</t>
  </si>
  <si>
    <t>TAMAN KELEDANG JAYA </t>
  </si>
  <si>
    <t>SEKOLAH RENDAH AGAMA RAKYAT OSMANIAH, KAMPUNG TENGKU HUSSEIN TAMBAHAN</t>
  </si>
  <si>
    <t>063/23/17</t>
  </si>
  <si>
    <t>GERMUDA </t>
  </si>
  <si>
    <t>063/23/18</t>
  </si>
  <si>
    <t>KANTHAN </t>
  </si>
  <si>
    <t>SEKOLAH JENIS KEBANGSAAN (CINA) CHONG HWA</t>
  </si>
  <si>
    <t>063/24/01</t>
  </si>
  <si>
    <t>KUANG </t>
  </si>
  <si>
    <t>SEKOLAH KEBANGSAAN SYED IDRUS</t>
  </si>
  <si>
    <t>063/24/02</t>
  </si>
  <si>
    <t>KAMPONG ULU CHEMOR </t>
  </si>
  <si>
    <t>SEKOLAH RENDAH AGAMA RAKYAT AL-MOHSINIAH</t>
  </si>
  <si>
    <t>063/24/03</t>
  </si>
  <si>
    <t>KAMPONG CHIK ZAINAL </t>
  </si>
  <si>
    <t>SEKOLAH AGAMA RAKYAT AL-IKHLASIAH</t>
  </si>
  <si>
    <t>063/24/04</t>
  </si>
  <si>
    <t>TANAH HITAM </t>
  </si>
  <si>
    <t>SEKOLAH JENIS KEBANGSAAN (CINA) TANAH HITAM</t>
  </si>
  <si>
    <t>063/24/05</t>
  </si>
  <si>
    <t>CHANGKAT KINDING </t>
  </si>
  <si>
    <t>SEKOLAH JENIS KEBANGSAAN (TAMIL) LADANG CHANGKAT KINDING</t>
  </si>
  <si>
    <t>063/24/06</t>
  </si>
  <si>
    <t>HOSPITAL BAHAGIA </t>
  </si>
  <si>
    <t>SEKOLAH KEBANGSAAN METHODIST</t>
  </si>
  <si>
    <t>063/24/07</t>
  </si>
  <si>
    <t>TANJONG RAMBUTAN</t>
  </si>
  <si>
    <t>SEKOLAH KEBANGSAAN SERI TANJUNG</t>
  </si>
  <si>
    <t>063/24/08</t>
  </si>
  <si>
    <t>TANJONG RAMBUTAN UTARA </t>
  </si>
  <si>
    <t>SEKOLAH JENIS KEBANGSAAN (TAMIL) TANJONG RAMBUTAN</t>
  </si>
  <si>
    <t>063/24/09</t>
  </si>
  <si>
    <t>TANJONG RAMBUTAN BARAT </t>
  </si>
  <si>
    <t>SEKOLAH KEBANGSAAN TANJONG RAMBUTAN</t>
  </si>
  <si>
    <t>063/24/10</t>
  </si>
  <si>
    <t>KAWASAN POLIS HUTAN </t>
  </si>
  <si>
    <t>SEKOLAH KEBANGSAAN PASUKAN POLIS HUTAN</t>
  </si>
  <si>
    <t>063/24/11</t>
  </si>
  <si>
    <t>KAMPUNG TERSUSUN BATU 8 </t>
  </si>
  <si>
    <t>SEK. REN. AGAMA RAKYAT ASY SHUKURIAH</t>
  </si>
  <si>
    <t>063/24/12</t>
  </si>
  <si>
    <t>BANDAR BARU PUTRA </t>
  </si>
  <si>
    <t>SEKOLAH KEBANGSAAN BANDAR BARU PUTERA</t>
  </si>
  <si>
    <t>063/24/13</t>
  </si>
  <si>
    <t>PAKATAN JAYA </t>
  </si>
  <si>
    <t>SEKOLAH KEBANGSAAN PAKATAN JAYA</t>
  </si>
  <si>
    <t>063/24/14</t>
  </si>
  <si>
    <t>TAMAN PERPADUAN </t>
  </si>
  <si>
    <t>SEKOLAH KEBANGSAAN PERPADUAN</t>
  </si>
  <si>
    <t>063/24/15</t>
  </si>
  <si>
    <t>BANDAR BARU SUNWAY </t>
  </si>
  <si>
    <t>SEKOLAH AGAMA RAKYAT NURUL HIDAYAH</t>
  </si>
  <si>
    <t>063/24/16</t>
  </si>
  <si>
    <t>KAMPONG TERSUSUN BATU 5 </t>
  </si>
  <si>
    <t>SEKOLAH MENENGAH KEBANGSAAN TAMBUN</t>
  </si>
  <si>
    <t>063/24/17</t>
  </si>
  <si>
    <t>TAMBUN </t>
  </si>
  <si>
    <t>SEKOLAH KEBANGSAAN TAMBUN</t>
  </si>
  <si>
    <t>063/24/18</t>
  </si>
  <si>
    <t>JALAN TAMBUN </t>
  </si>
  <si>
    <t>SEKOLAH JENIS KEBANGSAAN (CINA) HING HWA</t>
  </si>
  <si>
    <t>063/24/19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</si>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</sst>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  <font>
      <b/>
      <sz val="9.0"/>
      <color theme="1"/>
      <name val="Calibri"/>
    </font>
    <font>
      <sz val="11.0"/>
      <color theme="1"/>
      <name val="Calibri"/>
    </font>
    <font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left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2" fillId="0" fontId="4" numFmtId="0" xfId="0" applyAlignment="1" applyBorder="1" applyFont="1">
      <alignment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vertical="center"/>
    </xf>
    <xf borderId="10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13" fillId="0" fontId="5" numFmtId="0" xfId="0" applyAlignment="1" applyBorder="1" applyFont="1">
      <alignment vertical="center"/>
    </xf>
    <xf borderId="13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13" fillId="2" fontId="1" numFmtId="0" xfId="0" applyAlignment="1" applyBorder="1" applyFill="1" applyFont="1">
      <alignment readingOrder="0" shrinkToFit="0" vertical="center" wrapText="1"/>
    </xf>
    <xf borderId="13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1" fillId="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vertical="center"/>
    </xf>
    <xf borderId="11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3" fillId="0" fontId="1" numFmtId="3" xfId="0" applyAlignment="1" applyBorder="1" applyFont="1" applyNumberForma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5</xdr:row>
      <xdr:rowOff>266700</xdr:rowOff>
    </xdr:from>
    <xdr:ext cx="476250" cy="476250"/>
    <xdr:pic>
      <xdr:nvPicPr>
        <xdr:cNvPr descr="http://spsp.spr.gov.my:8197/data_files/logo_parti/BN.BMP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514350" cy="5143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514350" cy="5143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43"/>
    <col customWidth="1" min="2" max="2" width="31.86"/>
    <col customWidth="1" min="3" max="3" width="60.0"/>
    <col customWidth="1" min="4" max="4" width="9.14"/>
    <col customWidth="1" min="5" max="5" width="8.71"/>
    <col customWidth="1" min="6" max="6" width="10.14"/>
    <col customWidth="1" min="7" max="10" width="8.71"/>
    <col customWidth="1" min="11" max="11" width="11.0"/>
    <col customWidth="1" min="1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9.0" customHeight="1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2" t="s">
        <v>8</v>
      </c>
      <c r="G4" s="9"/>
      <c r="H4" s="9"/>
      <c r="I4" s="10"/>
      <c r="J4" s="11" t="s">
        <v>9</v>
      </c>
      <c r="K4" s="11" t="s">
        <v>10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8.25" customHeight="1">
      <c r="A5" s="13"/>
      <c r="B5" s="13"/>
      <c r="C5" s="13"/>
      <c r="D5" s="13"/>
      <c r="E5" s="13"/>
      <c r="F5" s="11" t="s">
        <v>11</v>
      </c>
      <c r="G5" s="11" t="s">
        <v>12</v>
      </c>
      <c r="H5" s="11" t="s">
        <v>13</v>
      </c>
      <c r="I5" s="11" t="s">
        <v>14</v>
      </c>
      <c r="J5" s="13"/>
      <c r="K5" s="1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0.5" customHeight="1">
      <c r="A7" s="14"/>
      <c r="B7" s="14"/>
      <c r="C7" s="13"/>
      <c r="D7" s="13"/>
      <c r="E7" s="14"/>
      <c r="F7" s="15"/>
      <c r="G7" s="15"/>
      <c r="H7" s="15"/>
      <c r="I7" s="14"/>
      <c r="J7" s="14"/>
      <c r="K7" s="1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6">
        <v>1.0</v>
      </c>
      <c r="B8" s="17" t="s">
        <v>15</v>
      </c>
      <c r="C8" s="18" t="s">
        <v>15</v>
      </c>
      <c r="D8" s="19">
        <v>1.0</v>
      </c>
      <c r="E8" s="20">
        <v>3129.0</v>
      </c>
      <c r="F8" s="16">
        <v>1255.0</v>
      </c>
      <c r="G8" s="16">
        <v>390.0</v>
      </c>
      <c r="H8" s="16">
        <v>412.0</v>
      </c>
      <c r="I8" s="16">
        <v>2057.0</v>
      </c>
      <c r="J8" s="16">
        <v>112.0</v>
      </c>
      <c r="K8" s="16">
        <v>960.0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/>
      <c r="B9" s="21"/>
      <c r="C9" s="14"/>
      <c r="D9" s="14"/>
      <c r="E9" s="7"/>
      <c r="F9" s="14"/>
      <c r="G9" s="14"/>
      <c r="H9" s="14"/>
      <c r="I9" s="14"/>
      <c r="J9" s="14"/>
      <c r="K9" s="1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6">
        <v>2.0</v>
      </c>
      <c r="B10" s="17" t="s">
        <v>16</v>
      </c>
      <c r="C10" s="22" t="s">
        <v>17</v>
      </c>
      <c r="D10" s="23">
        <v>1.0</v>
      </c>
      <c r="E10" s="24">
        <v>57.0</v>
      </c>
      <c r="F10" s="25">
        <v>35.0</v>
      </c>
      <c r="G10" s="25">
        <v>7.0</v>
      </c>
      <c r="H10" s="25">
        <v>12.0</v>
      </c>
      <c r="I10" s="25">
        <v>54.0</v>
      </c>
      <c r="J10" s="25">
        <v>3.0</v>
      </c>
      <c r="K10" s="25">
        <v>0.0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/>
      <c r="B11" s="26" t="s">
        <v>18</v>
      </c>
      <c r="C11" s="22" t="s">
        <v>19</v>
      </c>
      <c r="D11" s="23">
        <v>1.0</v>
      </c>
      <c r="E11" s="24">
        <v>450.0</v>
      </c>
      <c r="F11" s="25">
        <v>300.0</v>
      </c>
      <c r="G11" s="25">
        <v>54.0</v>
      </c>
      <c r="H11" s="25">
        <v>87.0</v>
      </c>
      <c r="I11" s="25">
        <v>441.0</v>
      </c>
      <c r="J11" s="25">
        <v>9.0</v>
      </c>
      <c r="K11" s="25">
        <v>0.0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/>
      <c r="B12" s="26"/>
      <c r="C12" s="22" t="s">
        <v>19</v>
      </c>
      <c r="D12" s="23">
        <v>2.0</v>
      </c>
      <c r="E12" s="24">
        <v>435.0</v>
      </c>
      <c r="F12" s="25">
        <v>272.0</v>
      </c>
      <c r="G12" s="25">
        <v>64.0</v>
      </c>
      <c r="H12" s="25">
        <v>94.0</v>
      </c>
      <c r="I12" s="25">
        <v>430.0</v>
      </c>
      <c r="J12" s="25">
        <v>5.0</v>
      </c>
      <c r="K12" s="25">
        <v>0.0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/>
      <c r="B13" s="26"/>
      <c r="C13" s="22" t="s">
        <v>19</v>
      </c>
      <c r="D13" s="23">
        <v>3.0</v>
      </c>
      <c r="E13" s="24">
        <v>439.0</v>
      </c>
      <c r="F13" s="25">
        <v>259.0</v>
      </c>
      <c r="G13" s="25">
        <v>63.0</v>
      </c>
      <c r="H13" s="25">
        <v>110.0</v>
      </c>
      <c r="I13" s="25">
        <v>432.0</v>
      </c>
      <c r="J13" s="25">
        <v>7.0</v>
      </c>
      <c r="K13" s="25">
        <v>0.0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/>
      <c r="B14" s="26"/>
      <c r="C14" s="22" t="s">
        <v>19</v>
      </c>
      <c r="D14" s="23">
        <v>4.0</v>
      </c>
      <c r="E14" s="24">
        <v>431.0</v>
      </c>
      <c r="F14" s="25">
        <v>300.0</v>
      </c>
      <c r="G14" s="25">
        <v>43.0</v>
      </c>
      <c r="H14" s="25">
        <v>82.0</v>
      </c>
      <c r="I14" s="25">
        <v>425.0</v>
      </c>
      <c r="J14" s="25">
        <v>0.0</v>
      </c>
      <c r="K14" s="25">
        <v>6.0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/>
      <c r="B15" s="26"/>
      <c r="C15" s="22" t="s">
        <v>19</v>
      </c>
      <c r="D15" s="23">
        <v>5.0</v>
      </c>
      <c r="E15" s="24">
        <v>379.0</v>
      </c>
      <c r="F15" s="25">
        <v>272.0</v>
      </c>
      <c r="G15" s="25">
        <v>49.0</v>
      </c>
      <c r="H15" s="25">
        <v>57.0</v>
      </c>
      <c r="I15" s="25">
        <v>378.0</v>
      </c>
      <c r="J15" s="25">
        <v>1.0</v>
      </c>
      <c r="K15" s="25">
        <v>0.0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/>
      <c r="B16" s="26"/>
      <c r="C16" s="22" t="s">
        <v>20</v>
      </c>
      <c r="D16" s="23">
        <v>1.0</v>
      </c>
      <c r="E16" s="24">
        <v>58.0</v>
      </c>
      <c r="F16" s="25">
        <v>49.0</v>
      </c>
      <c r="G16" s="25">
        <v>3.0</v>
      </c>
      <c r="H16" s="25">
        <v>5.0</v>
      </c>
      <c r="I16" s="25">
        <v>57.0</v>
      </c>
      <c r="J16" s="25">
        <v>1.0</v>
      </c>
      <c r="K16" s="25">
        <v>0.0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/>
      <c r="B17" s="26"/>
      <c r="C17" s="27" t="s">
        <v>21</v>
      </c>
      <c r="D17" s="23">
        <v>1.0</v>
      </c>
      <c r="E17" s="24">
        <v>255.0</v>
      </c>
      <c r="F17" s="25">
        <v>135.0</v>
      </c>
      <c r="G17" s="25">
        <v>26.0</v>
      </c>
      <c r="H17" s="25">
        <v>89.0</v>
      </c>
      <c r="I17" s="25">
        <v>250.0</v>
      </c>
      <c r="J17" s="25">
        <v>5.0</v>
      </c>
      <c r="K17" s="25">
        <v>0.0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/>
      <c r="B18" s="26"/>
      <c r="C18" s="27" t="s">
        <v>21</v>
      </c>
      <c r="D18" s="23">
        <v>2.0</v>
      </c>
      <c r="E18" s="24">
        <v>275.0</v>
      </c>
      <c r="F18" s="25">
        <v>162.0</v>
      </c>
      <c r="G18" s="25">
        <v>37.0</v>
      </c>
      <c r="H18" s="25">
        <v>72.0</v>
      </c>
      <c r="I18" s="25">
        <v>271.0</v>
      </c>
      <c r="J18" s="25">
        <v>4.0</v>
      </c>
      <c r="K18" s="25">
        <v>0.0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/>
      <c r="B19" s="26"/>
      <c r="C19" s="27" t="s">
        <v>21</v>
      </c>
      <c r="D19" s="23">
        <v>3.0</v>
      </c>
      <c r="E19" s="24">
        <v>316.0</v>
      </c>
      <c r="F19" s="25">
        <v>173.0</v>
      </c>
      <c r="G19" s="25">
        <v>46.0</v>
      </c>
      <c r="H19" s="25">
        <v>93.0</v>
      </c>
      <c r="I19" s="25">
        <v>312.0</v>
      </c>
      <c r="J19" s="25">
        <v>4.0</v>
      </c>
      <c r="K19" s="25">
        <v>0.0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4"/>
      <c r="B20" s="28"/>
      <c r="C20" s="29" t="s">
        <v>22</v>
      </c>
      <c r="D20" s="30"/>
      <c r="E20" s="30">
        <f t="shared" ref="E20:K20" si="1">SUM(E10:E19)</f>
        <v>3095</v>
      </c>
      <c r="F20" s="30">
        <f t="shared" si="1"/>
        <v>1957</v>
      </c>
      <c r="G20" s="30">
        <f t="shared" si="1"/>
        <v>392</v>
      </c>
      <c r="H20" s="30">
        <f t="shared" si="1"/>
        <v>701</v>
      </c>
      <c r="I20" s="30">
        <f t="shared" si="1"/>
        <v>3050</v>
      </c>
      <c r="J20" s="30">
        <f t="shared" si="1"/>
        <v>39</v>
      </c>
      <c r="K20" s="30">
        <f t="shared" si="1"/>
        <v>6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6">
        <v>3.0</v>
      </c>
      <c r="B21" s="17" t="s">
        <v>23</v>
      </c>
      <c r="C21" s="22" t="s">
        <v>24</v>
      </c>
      <c r="D21" s="23">
        <v>1.0</v>
      </c>
      <c r="E21" s="24">
        <v>273.0</v>
      </c>
      <c r="F21" s="25">
        <v>103.0</v>
      </c>
      <c r="G21" s="25">
        <v>158.0</v>
      </c>
      <c r="H21" s="25">
        <v>11.0</v>
      </c>
      <c r="I21" s="25">
        <v>272.0</v>
      </c>
      <c r="J21" s="25">
        <v>1.0</v>
      </c>
      <c r="K21" s="25">
        <v>0.0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3"/>
      <c r="B22" s="26" t="s">
        <v>25</v>
      </c>
      <c r="C22" s="22" t="s">
        <v>24</v>
      </c>
      <c r="D22" s="23">
        <v>2.0</v>
      </c>
      <c r="E22" s="24">
        <v>453.0</v>
      </c>
      <c r="F22" s="25">
        <v>134.0</v>
      </c>
      <c r="G22" s="25">
        <v>278.0</v>
      </c>
      <c r="H22" s="25">
        <v>34.0</v>
      </c>
      <c r="I22" s="25">
        <v>446.0</v>
      </c>
      <c r="J22" s="25">
        <v>7.0</v>
      </c>
      <c r="K22" s="25">
        <v>0.0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3"/>
      <c r="B23" s="26"/>
      <c r="C23" s="22" t="s">
        <v>24</v>
      </c>
      <c r="D23" s="23">
        <v>3.0</v>
      </c>
      <c r="E23" s="24">
        <v>417.0</v>
      </c>
      <c r="F23" s="25">
        <v>140.0</v>
      </c>
      <c r="G23" s="25">
        <v>202.0</v>
      </c>
      <c r="H23" s="25">
        <v>74.0</v>
      </c>
      <c r="I23" s="25">
        <v>416.0</v>
      </c>
      <c r="J23" s="25">
        <v>1.0</v>
      </c>
      <c r="K23" s="25">
        <v>0.0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4"/>
      <c r="B24" s="28"/>
      <c r="C24" s="29" t="s">
        <v>22</v>
      </c>
      <c r="D24" s="30"/>
      <c r="E24" s="30">
        <f t="shared" ref="E24:K24" si="2">SUM(E21:E23)</f>
        <v>1143</v>
      </c>
      <c r="F24" s="30">
        <f t="shared" si="2"/>
        <v>377</v>
      </c>
      <c r="G24" s="30">
        <f t="shared" si="2"/>
        <v>638</v>
      </c>
      <c r="H24" s="30">
        <f t="shared" si="2"/>
        <v>119</v>
      </c>
      <c r="I24" s="30">
        <f t="shared" si="2"/>
        <v>1134</v>
      </c>
      <c r="J24" s="30">
        <f t="shared" si="2"/>
        <v>9</v>
      </c>
      <c r="K24" s="30">
        <f t="shared" si="2"/>
        <v>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6">
        <v>4.0</v>
      </c>
      <c r="B25" s="17" t="s">
        <v>26</v>
      </c>
      <c r="C25" s="18" t="s">
        <v>27</v>
      </c>
      <c r="D25" s="19">
        <v>1.0</v>
      </c>
      <c r="E25" s="20">
        <v>488.0</v>
      </c>
      <c r="F25" s="16">
        <v>80.0</v>
      </c>
      <c r="G25" s="16">
        <v>399.0</v>
      </c>
      <c r="H25" s="16">
        <v>4.0</v>
      </c>
      <c r="I25" s="16">
        <v>483.0</v>
      </c>
      <c r="J25" s="16">
        <v>5.0</v>
      </c>
      <c r="K25" s="16">
        <v>0.0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4"/>
      <c r="B26" s="28" t="s">
        <v>28</v>
      </c>
      <c r="C26" s="29" t="s">
        <v>22</v>
      </c>
      <c r="D26" s="30"/>
      <c r="E26" s="31">
        <v>488.0</v>
      </c>
      <c r="F26" s="32">
        <v>80.0</v>
      </c>
      <c r="G26" s="32">
        <v>399.0</v>
      </c>
      <c r="H26" s="32">
        <v>4.0</v>
      </c>
      <c r="I26" s="32">
        <v>483.0</v>
      </c>
      <c r="J26" s="32">
        <v>5.0</v>
      </c>
      <c r="K26" s="32">
        <v>0.0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6">
        <v>5.0</v>
      </c>
      <c r="B27" s="17" t="s">
        <v>29</v>
      </c>
      <c r="C27" s="22" t="s">
        <v>30</v>
      </c>
      <c r="D27" s="23">
        <v>1.0</v>
      </c>
      <c r="E27" s="24">
        <v>250.0</v>
      </c>
      <c r="F27" s="25">
        <v>52.0</v>
      </c>
      <c r="G27" s="25">
        <v>184.0</v>
      </c>
      <c r="H27" s="25">
        <v>8.0</v>
      </c>
      <c r="I27" s="25">
        <v>244.0</v>
      </c>
      <c r="J27" s="25">
        <v>6.0</v>
      </c>
      <c r="K27" s="25">
        <v>0.0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3"/>
      <c r="B28" s="26" t="s">
        <v>31</v>
      </c>
      <c r="C28" s="22" t="s">
        <v>30</v>
      </c>
      <c r="D28" s="23">
        <v>2.0</v>
      </c>
      <c r="E28" s="24">
        <v>505.0</v>
      </c>
      <c r="F28" s="25">
        <v>109.0</v>
      </c>
      <c r="G28" s="25">
        <v>378.0</v>
      </c>
      <c r="H28" s="25">
        <v>10.0</v>
      </c>
      <c r="I28" s="25">
        <v>497.0</v>
      </c>
      <c r="J28" s="25">
        <v>8.0</v>
      </c>
      <c r="K28" s="25">
        <v>0.0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3"/>
      <c r="B29" s="26"/>
      <c r="C29" s="22" t="s">
        <v>30</v>
      </c>
      <c r="D29" s="23">
        <v>3.0</v>
      </c>
      <c r="E29" s="24">
        <v>519.0</v>
      </c>
      <c r="F29" s="25">
        <v>110.0</v>
      </c>
      <c r="G29" s="25">
        <v>379.0</v>
      </c>
      <c r="H29" s="25">
        <v>18.0</v>
      </c>
      <c r="I29" s="25">
        <v>507.0</v>
      </c>
      <c r="J29" s="25">
        <v>12.0</v>
      </c>
      <c r="K29" s="25">
        <v>0.0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3"/>
      <c r="B30" s="26"/>
      <c r="C30" s="22" t="s">
        <v>30</v>
      </c>
      <c r="D30" s="23">
        <v>4.0</v>
      </c>
      <c r="E30" s="24">
        <v>547.0</v>
      </c>
      <c r="F30" s="25">
        <v>88.0</v>
      </c>
      <c r="G30" s="25">
        <v>432.0</v>
      </c>
      <c r="H30" s="25">
        <v>20.0</v>
      </c>
      <c r="I30" s="25">
        <v>540.0</v>
      </c>
      <c r="J30" s="25">
        <v>7.0</v>
      </c>
      <c r="K30" s="25">
        <v>0.0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3"/>
      <c r="B31" s="26"/>
      <c r="C31" s="22" t="s">
        <v>30</v>
      </c>
      <c r="D31" s="23">
        <v>5.0</v>
      </c>
      <c r="E31" s="24">
        <v>521.0</v>
      </c>
      <c r="F31" s="25">
        <v>85.0</v>
      </c>
      <c r="G31" s="25">
        <v>398.0</v>
      </c>
      <c r="H31" s="25">
        <v>33.0</v>
      </c>
      <c r="I31" s="25">
        <v>516.0</v>
      </c>
      <c r="J31" s="25">
        <v>5.0</v>
      </c>
      <c r="K31" s="25">
        <v>0.0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3"/>
      <c r="B32" s="26"/>
      <c r="C32" s="22" t="s">
        <v>30</v>
      </c>
      <c r="D32" s="23">
        <v>6.0</v>
      </c>
      <c r="E32" s="24">
        <v>515.0</v>
      </c>
      <c r="F32" s="25">
        <v>75.0</v>
      </c>
      <c r="G32" s="25">
        <v>407.0</v>
      </c>
      <c r="H32" s="25">
        <v>31.0</v>
      </c>
      <c r="I32" s="25">
        <v>513.0</v>
      </c>
      <c r="J32" s="25">
        <v>2.0</v>
      </c>
      <c r="K32" s="25">
        <v>0.0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3"/>
      <c r="B33" s="26"/>
      <c r="C33" s="22" t="s">
        <v>30</v>
      </c>
      <c r="D33" s="23">
        <v>7.0</v>
      </c>
      <c r="E33" s="24">
        <v>527.0</v>
      </c>
      <c r="F33" s="25">
        <v>81.0</v>
      </c>
      <c r="G33" s="25">
        <v>415.0</v>
      </c>
      <c r="H33" s="25">
        <v>29.0</v>
      </c>
      <c r="I33" s="25">
        <v>525.0</v>
      </c>
      <c r="J33" s="25">
        <v>2.0</v>
      </c>
      <c r="K33" s="25">
        <v>0.0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3"/>
      <c r="B34" s="26"/>
      <c r="C34" s="22" t="s">
        <v>30</v>
      </c>
      <c r="D34" s="23">
        <v>8.0</v>
      </c>
      <c r="E34" s="24">
        <v>485.0</v>
      </c>
      <c r="F34" s="25">
        <v>75.0</v>
      </c>
      <c r="G34" s="25">
        <v>379.0</v>
      </c>
      <c r="H34" s="25">
        <v>30.0</v>
      </c>
      <c r="I34" s="25">
        <v>484.0</v>
      </c>
      <c r="J34" s="25">
        <v>1.0</v>
      </c>
      <c r="K34" s="25">
        <v>0.0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3"/>
      <c r="B35" s="26"/>
      <c r="C35" s="22" t="s">
        <v>30</v>
      </c>
      <c r="D35" s="23">
        <v>9.0</v>
      </c>
      <c r="E35" s="24">
        <v>486.0</v>
      </c>
      <c r="F35" s="25">
        <v>78.0</v>
      </c>
      <c r="G35" s="25">
        <v>380.0</v>
      </c>
      <c r="H35" s="25">
        <v>27.0</v>
      </c>
      <c r="I35" s="25">
        <v>485.0</v>
      </c>
      <c r="J35" s="25">
        <v>1.0</v>
      </c>
      <c r="K35" s="25">
        <v>0.0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3"/>
      <c r="B36" s="26"/>
      <c r="C36" s="22" t="s">
        <v>30</v>
      </c>
      <c r="D36" s="23">
        <v>10.0</v>
      </c>
      <c r="E36" s="24">
        <v>492.0</v>
      </c>
      <c r="F36" s="25">
        <v>94.0</v>
      </c>
      <c r="G36" s="25">
        <v>359.0</v>
      </c>
      <c r="H36" s="25">
        <v>37.0</v>
      </c>
      <c r="I36" s="25">
        <v>490.0</v>
      </c>
      <c r="J36" s="25">
        <v>2.0</v>
      </c>
      <c r="K36" s="25">
        <v>0.0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4"/>
      <c r="B37" s="28"/>
      <c r="C37" s="29" t="s">
        <v>22</v>
      </c>
      <c r="D37" s="30"/>
      <c r="E37" s="30">
        <f t="shared" ref="E37:K37" si="3">SUM(E25:E36)</f>
        <v>5823</v>
      </c>
      <c r="F37" s="30">
        <f t="shared" si="3"/>
        <v>1007</v>
      </c>
      <c r="G37" s="30">
        <f t="shared" si="3"/>
        <v>4509</v>
      </c>
      <c r="H37" s="30">
        <f t="shared" si="3"/>
        <v>251</v>
      </c>
      <c r="I37" s="30">
        <f t="shared" si="3"/>
        <v>5767</v>
      </c>
      <c r="J37" s="30">
        <f t="shared" si="3"/>
        <v>56</v>
      </c>
      <c r="K37" s="30">
        <f t="shared" si="3"/>
        <v>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6">
        <v>6.0</v>
      </c>
      <c r="B38" s="17" t="s">
        <v>32</v>
      </c>
      <c r="C38" s="22" t="s">
        <v>33</v>
      </c>
      <c r="D38" s="23">
        <v>1.0</v>
      </c>
      <c r="E38" s="24">
        <v>277.0</v>
      </c>
      <c r="F38" s="25">
        <v>126.0</v>
      </c>
      <c r="G38" s="25">
        <v>122.0</v>
      </c>
      <c r="H38" s="25">
        <v>27.0</v>
      </c>
      <c r="I38" s="25">
        <v>275.0</v>
      </c>
      <c r="J38" s="25">
        <v>2.0</v>
      </c>
      <c r="K38" s="25">
        <v>0.0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3"/>
      <c r="B39" s="26" t="s">
        <v>34</v>
      </c>
      <c r="C39" s="22" t="s">
        <v>33</v>
      </c>
      <c r="D39" s="23">
        <v>2.0</v>
      </c>
      <c r="E39" s="24">
        <v>642.0</v>
      </c>
      <c r="F39" s="25">
        <v>292.0</v>
      </c>
      <c r="G39" s="25">
        <v>260.0</v>
      </c>
      <c r="H39" s="25">
        <v>77.0</v>
      </c>
      <c r="I39" s="25">
        <v>629.0</v>
      </c>
      <c r="J39" s="25">
        <v>13.0</v>
      </c>
      <c r="K39" s="25">
        <v>0.0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3"/>
      <c r="B40" s="26"/>
      <c r="C40" s="22" t="s">
        <v>33</v>
      </c>
      <c r="D40" s="23">
        <v>3.0</v>
      </c>
      <c r="E40" s="24">
        <v>646.0</v>
      </c>
      <c r="F40" s="25">
        <v>294.0</v>
      </c>
      <c r="G40" s="25">
        <v>243.0</v>
      </c>
      <c r="H40" s="25">
        <v>99.0</v>
      </c>
      <c r="I40" s="25">
        <v>636.0</v>
      </c>
      <c r="J40" s="25">
        <v>10.0</v>
      </c>
      <c r="K40" s="25">
        <v>0.0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3"/>
      <c r="B41" s="26"/>
      <c r="C41" s="22" t="s">
        <v>33</v>
      </c>
      <c r="D41" s="23">
        <v>4.0</v>
      </c>
      <c r="E41" s="24">
        <v>635.0</v>
      </c>
      <c r="F41" s="25">
        <v>241.0</v>
      </c>
      <c r="G41" s="25">
        <v>257.0</v>
      </c>
      <c r="H41" s="25">
        <v>132.0</v>
      </c>
      <c r="I41" s="25">
        <v>630.0</v>
      </c>
      <c r="J41" s="25">
        <v>5.0</v>
      </c>
      <c r="K41" s="25">
        <v>0.0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3"/>
      <c r="B42" s="26"/>
      <c r="C42" s="22" t="s">
        <v>33</v>
      </c>
      <c r="D42" s="23">
        <v>5.0</v>
      </c>
      <c r="E42" s="24">
        <v>612.0</v>
      </c>
      <c r="F42" s="25">
        <v>218.0</v>
      </c>
      <c r="G42" s="25">
        <v>268.0</v>
      </c>
      <c r="H42" s="25">
        <v>122.0</v>
      </c>
      <c r="I42" s="25">
        <v>608.0</v>
      </c>
      <c r="J42" s="25">
        <v>4.0</v>
      </c>
      <c r="K42" s="25">
        <v>0.0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3"/>
      <c r="B43" s="26"/>
      <c r="C43" s="22" t="s">
        <v>33</v>
      </c>
      <c r="D43" s="23">
        <v>6.0</v>
      </c>
      <c r="E43" s="24">
        <v>609.0</v>
      </c>
      <c r="F43" s="25">
        <v>187.0</v>
      </c>
      <c r="G43" s="25">
        <v>286.0</v>
      </c>
      <c r="H43" s="25">
        <v>130.0</v>
      </c>
      <c r="I43" s="25">
        <v>603.0</v>
      </c>
      <c r="J43" s="25">
        <v>6.0</v>
      </c>
      <c r="K43" s="25">
        <v>0.0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3"/>
      <c r="B44" s="26"/>
      <c r="C44" s="22" t="s">
        <v>33</v>
      </c>
      <c r="D44" s="23">
        <v>7.0</v>
      </c>
      <c r="E44" s="24">
        <v>571.0</v>
      </c>
      <c r="F44" s="25">
        <v>125.0</v>
      </c>
      <c r="G44" s="25">
        <v>322.0</v>
      </c>
      <c r="H44" s="25">
        <v>122.0</v>
      </c>
      <c r="I44" s="25">
        <v>569.0</v>
      </c>
      <c r="J44" s="25">
        <v>2.0</v>
      </c>
      <c r="K44" s="25">
        <v>0.0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3"/>
      <c r="B45" s="26"/>
      <c r="C45" s="22" t="s">
        <v>33</v>
      </c>
      <c r="D45" s="23">
        <v>8.0</v>
      </c>
      <c r="E45" s="24">
        <v>560.0</v>
      </c>
      <c r="F45" s="25">
        <v>144.0</v>
      </c>
      <c r="G45" s="25">
        <v>320.0</v>
      </c>
      <c r="H45" s="25">
        <v>94.0</v>
      </c>
      <c r="I45" s="25">
        <v>558.0</v>
      </c>
      <c r="J45" s="25">
        <v>2.0</v>
      </c>
      <c r="K45" s="25">
        <v>0.0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3"/>
      <c r="B46" s="26"/>
      <c r="C46" s="22" t="s">
        <v>33</v>
      </c>
      <c r="D46" s="23">
        <v>9.0</v>
      </c>
      <c r="E46" s="24">
        <v>533.0</v>
      </c>
      <c r="F46" s="25">
        <v>136.0</v>
      </c>
      <c r="G46" s="25">
        <v>298.0</v>
      </c>
      <c r="H46" s="25">
        <v>96.0</v>
      </c>
      <c r="I46" s="25">
        <v>530.0</v>
      </c>
      <c r="J46" s="25">
        <v>3.0</v>
      </c>
      <c r="K46" s="25">
        <v>0.0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3"/>
      <c r="B47" s="26"/>
      <c r="C47" s="22" t="s">
        <v>33</v>
      </c>
      <c r="D47" s="23">
        <v>10.0</v>
      </c>
      <c r="E47" s="24">
        <v>508.0</v>
      </c>
      <c r="F47" s="25">
        <v>149.0</v>
      </c>
      <c r="G47" s="25">
        <v>264.0</v>
      </c>
      <c r="H47" s="25">
        <v>93.0</v>
      </c>
      <c r="I47" s="25">
        <v>506.0</v>
      </c>
      <c r="J47" s="25">
        <v>2.0</v>
      </c>
      <c r="K47" s="25">
        <v>0.0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3"/>
      <c r="B48" s="26"/>
      <c r="C48" s="22" t="s">
        <v>33</v>
      </c>
      <c r="D48" s="23">
        <v>11.0</v>
      </c>
      <c r="E48" s="24">
        <v>537.0</v>
      </c>
      <c r="F48" s="25">
        <v>141.0</v>
      </c>
      <c r="G48" s="25">
        <v>303.0</v>
      </c>
      <c r="H48" s="25">
        <v>89.0</v>
      </c>
      <c r="I48" s="25">
        <v>533.0</v>
      </c>
      <c r="J48" s="25">
        <v>4.0</v>
      </c>
      <c r="K48" s="25">
        <v>0.0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3"/>
      <c r="B49" s="26"/>
      <c r="C49" s="22" t="s">
        <v>33</v>
      </c>
      <c r="D49" s="23">
        <v>12.0</v>
      </c>
      <c r="E49" s="24">
        <v>578.0</v>
      </c>
      <c r="F49" s="25">
        <v>185.0</v>
      </c>
      <c r="G49" s="25">
        <v>257.0</v>
      </c>
      <c r="H49" s="25">
        <v>133.0</v>
      </c>
      <c r="I49" s="25">
        <v>575.0</v>
      </c>
      <c r="J49" s="25">
        <v>3.0</v>
      </c>
      <c r="K49" s="25">
        <v>0.0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4"/>
      <c r="B50" s="28"/>
      <c r="C50" s="29" t="s">
        <v>22</v>
      </c>
      <c r="D50" s="30"/>
      <c r="E50" s="30">
        <f t="shared" ref="E50:K50" si="4">SUM(E38:E49)</f>
        <v>6708</v>
      </c>
      <c r="F50" s="30">
        <f t="shared" si="4"/>
        <v>2238</v>
      </c>
      <c r="G50" s="30">
        <f t="shared" si="4"/>
        <v>3200</v>
      </c>
      <c r="H50" s="30">
        <f t="shared" si="4"/>
        <v>1214</v>
      </c>
      <c r="I50" s="30">
        <f t="shared" si="4"/>
        <v>6652</v>
      </c>
      <c r="J50" s="30">
        <f t="shared" si="4"/>
        <v>56</v>
      </c>
      <c r="K50" s="30">
        <f t="shared" si="4"/>
        <v>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6">
        <v>7.0</v>
      </c>
      <c r="B51" s="17" t="s">
        <v>35</v>
      </c>
      <c r="C51" s="22" t="s">
        <v>36</v>
      </c>
      <c r="D51" s="23">
        <v>1.0</v>
      </c>
      <c r="E51" s="24">
        <v>282.0</v>
      </c>
      <c r="F51" s="25">
        <v>174.0</v>
      </c>
      <c r="G51" s="25">
        <v>76.0</v>
      </c>
      <c r="H51" s="25">
        <v>28.0</v>
      </c>
      <c r="I51" s="25">
        <v>278.0</v>
      </c>
      <c r="J51" s="25">
        <v>4.0</v>
      </c>
      <c r="K51" s="25">
        <v>0.0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3"/>
      <c r="B52" s="26" t="s">
        <v>37</v>
      </c>
      <c r="C52" s="22" t="s">
        <v>36</v>
      </c>
      <c r="D52" s="23">
        <v>2.0</v>
      </c>
      <c r="E52" s="24">
        <v>629.0</v>
      </c>
      <c r="F52" s="25">
        <v>352.0</v>
      </c>
      <c r="G52" s="25">
        <v>177.0</v>
      </c>
      <c r="H52" s="25">
        <v>85.0</v>
      </c>
      <c r="I52" s="25">
        <v>614.0</v>
      </c>
      <c r="J52" s="25">
        <v>15.0</v>
      </c>
      <c r="K52" s="25">
        <v>0.0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3"/>
      <c r="B53" s="26"/>
      <c r="C53" s="22" t="s">
        <v>36</v>
      </c>
      <c r="D53" s="23">
        <v>3.0</v>
      </c>
      <c r="E53" s="24">
        <v>625.0</v>
      </c>
      <c r="F53" s="25">
        <v>314.0</v>
      </c>
      <c r="G53" s="25">
        <v>211.0</v>
      </c>
      <c r="H53" s="25">
        <v>84.0</v>
      </c>
      <c r="I53" s="25">
        <v>609.0</v>
      </c>
      <c r="J53" s="25">
        <v>16.0</v>
      </c>
      <c r="K53" s="25">
        <v>0.0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3"/>
      <c r="B54" s="26"/>
      <c r="C54" s="22" t="s">
        <v>36</v>
      </c>
      <c r="D54" s="23">
        <v>4.0</v>
      </c>
      <c r="E54" s="24">
        <v>607.0</v>
      </c>
      <c r="F54" s="25">
        <v>233.0</v>
      </c>
      <c r="G54" s="25">
        <v>253.0</v>
      </c>
      <c r="H54" s="25">
        <v>113.0</v>
      </c>
      <c r="I54" s="25">
        <v>599.0</v>
      </c>
      <c r="J54" s="25">
        <v>8.0</v>
      </c>
      <c r="K54" s="25">
        <v>0.0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3"/>
      <c r="B55" s="26"/>
      <c r="C55" s="22" t="s">
        <v>36</v>
      </c>
      <c r="D55" s="23">
        <v>5.0</v>
      </c>
      <c r="E55" s="24">
        <v>569.0</v>
      </c>
      <c r="F55" s="25">
        <v>165.0</v>
      </c>
      <c r="G55" s="25">
        <v>284.0</v>
      </c>
      <c r="H55" s="25">
        <v>118.0</v>
      </c>
      <c r="I55" s="25">
        <v>567.0</v>
      </c>
      <c r="J55" s="25">
        <v>2.0</v>
      </c>
      <c r="K55" s="25">
        <v>0.0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3"/>
      <c r="B56" s="26"/>
      <c r="C56" s="22" t="s">
        <v>36</v>
      </c>
      <c r="D56" s="23">
        <v>6.0</v>
      </c>
      <c r="E56" s="24">
        <v>543.0</v>
      </c>
      <c r="F56" s="25">
        <v>168.0</v>
      </c>
      <c r="G56" s="25">
        <v>267.0</v>
      </c>
      <c r="H56" s="25">
        <v>108.0</v>
      </c>
      <c r="I56" s="25">
        <v>543.0</v>
      </c>
      <c r="J56" s="25">
        <v>0.0</v>
      </c>
      <c r="K56" s="25">
        <v>0.0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3"/>
      <c r="B57" s="26"/>
      <c r="C57" s="22" t="s">
        <v>36</v>
      </c>
      <c r="D57" s="23">
        <v>7.0</v>
      </c>
      <c r="E57" s="24">
        <v>544.0</v>
      </c>
      <c r="F57" s="25">
        <v>183.0</v>
      </c>
      <c r="G57" s="25">
        <v>242.0</v>
      </c>
      <c r="H57" s="25">
        <v>116.0</v>
      </c>
      <c r="I57" s="25">
        <v>541.0</v>
      </c>
      <c r="J57" s="25">
        <v>3.0</v>
      </c>
      <c r="K57" s="25">
        <v>0.0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3"/>
      <c r="B58" s="26"/>
      <c r="C58" s="22" t="s">
        <v>36</v>
      </c>
      <c r="D58" s="23">
        <v>8.0</v>
      </c>
      <c r="E58" s="24">
        <v>560.0</v>
      </c>
      <c r="F58" s="25">
        <v>198.0</v>
      </c>
      <c r="G58" s="25">
        <v>255.0</v>
      </c>
      <c r="H58" s="25">
        <v>104.0</v>
      </c>
      <c r="I58" s="25">
        <v>557.0</v>
      </c>
      <c r="J58" s="25">
        <v>3.0</v>
      </c>
      <c r="K58" s="25">
        <v>0.0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4"/>
      <c r="B59" s="28"/>
      <c r="C59" s="29" t="s">
        <v>22</v>
      </c>
      <c r="D59" s="30"/>
      <c r="E59" s="30">
        <f t="shared" ref="E59:K59" si="5">SUM(E51:E58)</f>
        <v>4359</v>
      </c>
      <c r="F59" s="30">
        <f t="shared" si="5"/>
        <v>1787</v>
      </c>
      <c r="G59" s="30">
        <f t="shared" si="5"/>
        <v>1765</v>
      </c>
      <c r="H59" s="30">
        <f t="shared" si="5"/>
        <v>756</v>
      </c>
      <c r="I59" s="30">
        <f t="shared" si="5"/>
        <v>4308</v>
      </c>
      <c r="J59" s="30">
        <f t="shared" si="5"/>
        <v>51</v>
      </c>
      <c r="K59" s="30">
        <f t="shared" si="5"/>
        <v>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6">
        <v>8.0</v>
      </c>
      <c r="B60" s="17" t="s">
        <v>38</v>
      </c>
      <c r="C60" s="22" t="s">
        <v>39</v>
      </c>
      <c r="D60" s="23">
        <v>1.0</v>
      </c>
      <c r="E60" s="24">
        <v>302.0</v>
      </c>
      <c r="F60" s="25">
        <v>166.0</v>
      </c>
      <c r="G60" s="25">
        <v>77.0</v>
      </c>
      <c r="H60" s="25">
        <v>53.0</v>
      </c>
      <c r="I60" s="25">
        <v>296.0</v>
      </c>
      <c r="J60" s="25">
        <v>6.0</v>
      </c>
      <c r="K60" s="25">
        <v>0.0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3"/>
      <c r="B61" s="26" t="s">
        <v>40</v>
      </c>
      <c r="C61" s="22" t="s">
        <v>39</v>
      </c>
      <c r="D61" s="23">
        <v>2.0</v>
      </c>
      <c r="E61" s="24">
        <v>536.0</v>
      </c>
      <c r="F61" s="25">
        <v>226.0</v>
      </c>
      <c r="G61" s="25">
        <v>145.0</v>
      </c>
      <c r="H61" s="25">
        <v>148.0</v>
      </c>
      <c r="I61" s="25">
        <v>519.0</v>
      </c>
      <c r="J61" s="25">
        <v>17.0</v>
      </c>
      <c r="K61" s="25">
        <v>0.0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3"/>
      <c r="B62" s="26"/>
      <c r="C62" s="22" t="s">
        <v>39</v>
      </c>
      <c r="D62" s="23">
        <v>3.0</v>
      </c>
      <c r="E62" s="24">
        <v>456.0</v>
      </c>
      <c r="F62" s="25">
        <v>163.0</v>
      </c>
      <c r="G62" s="25">
        <v>174.0</v>
      </c>
      <c r="H62" s="25">
        <v>119.0</v>
      </c>
      <c r="I62" s="25">
        <v>456.0</v>
      </c>
      <c r="J62" s="25">
        <v>0.0</v>
      </c>
      <c r="K62" s="25">
        <v>0.0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3"/>
      <c r="B63" s="26"/>
      <c r="C63" s="22" t="s">
        <v>39</v>
      </c>
      <c r="D63" s="23">
        <v>4.0</v>
      </c>
      <c r="E63" s="24">
        <v>479.0</v>
      </c>
      <c r="F63" s="25">
        <v>167.0</v>
      </c>
      <c r="G63" s="25">
        <v>187.0</v>
      </c>
      <c r="H63" s="25">
        <v>124.0</v>
      </c>
      <c r="I63" s="25">
        <v>478.0</v>
      </c>
      <c r="J63" s="25">
        <v>1.0</v>
      </c>
      <c r="K63" s="25">
        <v>0.0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3"/>
      <c r="B64" s="26"/>
      <c r="C64" s="29" t="s">
        <v>22</v>
      </c>
      <c r="D64" s="30"/>
      <c r="E64" s="30">
        <f t="shared" ref="E64:K64" si="6">SUM(E60:E63)</f>
        <v>1773</v>
      </c>
      <c r="F64" s="30">
        <f t="shared" si="6"/>
        <v>722</v>
      </c>
      <c r="G64" s="30">
        <f t="shared" si="6"/>
        <v>583</v>
      </c>
      <c r="H64" s="30">
        <f t="shared" si="6"/>
        <v>444</v>
      </c>
      <c r="I64" s="30">
        <f t="shared" si="6"/>
        <v>1749</v>
      </c>
      <c r="J64" s="30">
        <f t="shared" si="6"/>
        <v>24</v>
      </c>
      <c r="K64" s="30">
        <f t="shared" si="6"/>
        <v>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6">
        <v>9.0</v>
      </c>
      <c r="B65" s="17" t="s">
        <v>41</v>
      </c>
      <c r="C65" s="22" t="s">
        <v>39</v>
      </c>
      <c r="D65" s="23">
        <v>5.0</v>
      </c>
      <c r="E65" s="24">
        <v>307.0</v>
      </c>
      <c r="F65" s="25">
        <v>137.0</v>
      </c>
      <c r="G65" s="25">
        <v>119.0</v>
      </c>
      <c r="H65" s="25">
        <v>41.0</v>
      </c>
      <c r="I65" s="25">
        <v>297.0</v>
      </c>
      <c r="J65" s="25">
        <v>10.0</v>
      </c>
      <c r="K65" s="25">
        <v>0.0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3"/>
      <c r="B66" s="26" t="s">
        <v>42</v>
      </c>
      <c r="C66" s="22" t="s">
        <v>39</v>
      </c>
      <c r="D66" s="23">
        <v>6.0</v>
      </c>
      <c r="E66" s="24">
        <v>486.0</v>
      </c>
      <c r="F66" s="25">
        <v>152.0</v>
      </c>
      <c r="G66" s="25">
        <v>177.0</v>
      </c>
      <c r="H66" s="25">
        <v>154.0</v>
      </c>
      <c r="I66" s="25">
        <v>483.0</v>
      </c>
      <c r="J66" s="25">
        <v>3.0</v>
      </c>
      <c r="K66" s="25">
        <v>0.0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3"/>
      <c r="B67" s="26"/>
      <c r="C67" s="22" t="s">
        <v>39</v>
      </c>
      <c r="D67" s="23">
        <v>7.0</v>
      </c>
      <c r="E67" s="24">
        <v>442.0</v>
      </c>
      <c r="F67" s="25">
        <v>147.0</v>
      </c>
      <c r="G67" s="25">
        <v>188.0</v>
      </c>
      <c r="H67" s="25">
        <v>107.0</v>
      </c>
      <c r="I67" s="25">
        <v>442.0</v>
      </c>
      <c r="J67" s="25">
        <v>0.0</v>
      </c>
      <c r="K67" s="25">
        <v>0.0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4"/>
      <c r="B68" s="28"/>
      <c r="C68" s="29" t="s">
        <v>22</v>
      </c>
      <c r="D68" s="30"/>
      <c r="E68" s="30">
        <f t="shared" ref="E68:K68" si="7">SUM(E65:E67)</f>
        <v>1235</v>
      </c>
      <c r="F68" s="30">
        <f t="shared" si="7"/>
        <v>436</v>
      </c>
      <c r="G68" s="30">
        <f t="shared" si="7"/>
        <v>484</v>
      </c>
      <c r="H68" s="30">
        <f t="shared" si="7"/>
        <v>302</v>
      </c>
      <c r="I68" s="30">
        <f t="shared" si="7"/>
        <v>1222</v>
      </c>
      <c r="J68" s="30">
        <f t="shared" si="7"/>
        <v>13</v>
      </c>
      <c r="K68" s="30">
        <f t="shared" si="7"/>
        <v>0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6">
        <v>10.0</v>
      </c>
      <c r="B69" s="17" t="s">
        <v>43</v>
      </c>
      <c r="C69" s="22" t="s">
        <v>44</v>
      </c>
      <c r="D69" s="23">
        <v>1.0</v>
      </c>
      <c r="E69" s="24">
        <v>291.0</v>
      </c>
      <c r="F69" s="25">
        <v>149.0</v>
      </c>
      <c r="G69" s="25">
        <v>98.0</v>
      </c>
      <c r="H69" s="25">
        <v>41.0</v>
      </c>
      <c r="I69" s="25">
        <v>288.0</v>
      </c>
      <c r="J69" s="25">
        <v>3.0</v>
      </c>
      <c r="K69" s="25">
        <v>0.0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3"/>
      <c r="B70" s="26" t="s">
        <v>45</v>
      </c>
      <c r="C70" s="22" t="s">
        <v>44</v>
      </c>
      <c r="D70" s="23">
        <v>2.0</v>
      </c>
      <c r="E70" s="24">
        <v>599.0</v>
      </c>
      <c r="F70" s="25">
        <v>283.0</v>
      </c>
      <c r="G70" s="25">
        <v>195.0</v>
      </c>
      <c r="H70" s="25">
        <v>116.0</v>
      </c>
      <c r="I70" s="25">
        <v>594.0</v>
      </c>
      <c r="J70" s="25">
        <v>5.0</v>
      </c>
      <c r="K70" s="25">
        <v>0.0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3"/>
      <c r="B71" s="26"/>
      <c r="C71" s="22" t="s">
        <v>44</v>
      </c>
      <c r="D71" s="23">
        <v>3.0</v>
      </c>
      <c r="E71" s="24">
        <v>592.0</v>
      </c>
      <c r="F71" s="25">
        <v>221.0</v>
      </c>
      <c r="G71" s="25">
        <v>262.0</v>
      </c>
      <c r="H71" s="25">
        <v>108.0</v>
      </c>
      <c r="I71" s="25">
        <v>591.0</v>
      </c>
      <c r="J71" s="25">
        <v>1.0</v>
      </c>
      <c r="K71" s="25">
        <v>0.0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3"/>
      <c r="B72" s="26"/>
      <c r="C72" s="22" t="s">
        <v>44</v>
      </c>
      <c r="D72" s="23">
        <v>4.0</v>
      </c>
      <c r="E72" s="24">
        <v>548.0</v>
      </c>
      <c r="F72" s="25">
        <v>185.0</v>
      </c>
      <c r="G72" s="25">
        <v>246.0</v>
      </c>
      <c r="H72" s="25">
        <v>116.0</v>
      </c>
      <c r="I72" s="25">
        <v>547.0</v>
      </c>
      <c r="J72" s="25">
        <v>1.0</v>
      </c>
      <c r="K72" s="25">
        <v>0.0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3"/>
      <c r="B73" s="26"/>
      <c r="C73" s="22" t="s">
        <v>44</v>
      </c>
      <c r="D73" s="23">
        <v>5.0</v>
      </c>
      <c r="E73" s="24">
        <v>517.0</v>
      </c>
      <c r="F73" s="25">
        <v>159.0</v>
      </c>
      <c r="G73" s="25">
        <v>259.0</v>
      </c>
      <c r="H73" s="25">
        <v>96.0</v>
      </c>
      <c r="I73" s="25">
        <v>514.0</v>
      </c>
      <c r="J73" s="25">
        <v>3.0</v>
      </c>
      <c r="K73" s="25">
        <v>0.0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3"/>
      <c r="B74" s="26"/>
      <c r="C74" s="22" t="s">
        <v>44</v>
      </c>
      <c r="D74" s="23">
        <v>6.0</v>
      </c>
      <c r="E74" s="24">
        <v>489.0</v>
      </c>
      <c r="F74" s="25">
        <v>109.0</v>
      </c>
      <c r="G74" s="25">
        <v>269.0</v>
      </c>
      <c r="H74" s="25">
        <v>106.0</v>
      </c>
      <c r="I74" s="25">
        <v>484.0</v>
      </c>
      <c r="J74" s="25">
        <v>5.0</v>
      </c>
      <c r="K74" s="25">
        <v>0.0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3"/>
      <c r="B75" s="26"/>
      <c r="C75" s="22" t="s">
        <v>44</v>
      </c>
      <c r="D75" s="23">
        <v>7.0</v>
      </c>
      <c r="E75" s="24">
        <v>548.0</v>
      </c>
      <c r="F75" s="25">
        <v>110.0</v>
      </c>
      <c r="G75" s="25">
        <v>295.0</v>
      </c>
      <c r="H75" s="25">
        <v>103.0</v>
      </c>
      <c r="I75" s="25">
        <v>508.0</v>
      </c>
      <c r="J75" s="25">
        <v>2.0</v>
      </c>
      <c r="K75" s="25">
        <v>38.0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3"/>
      <c r="B76" s="26"/>
      <c r="C76" s="22" t="s">
        <v>44</v>
      </c>
      <c r="D76" s="23">
        <v>8.0</v>
      </c>
      <c r="E76" s="24">
        <v>523.0</v>
      </c>
      <c r="F76" s="25">
        <v>119.0</v>
      </c>
      <c r="G76" s="25">
        <v>301.0</v>
      </c>
      <c r="H76" s="25">
        <v>102.0</v>
      </c>
      <c r="I76" s="25">
        <v>522.0</v>
      </c>
      <c r="J76" s="25">
        <v>1.0</v>
      </c>
      <c r="K76" s="25">
        <v>0.0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4"/>
      <c r="B77" s="28"/>
      <c r="C77" s="29" t="s">
        <v>22</v>
      </c>
      <c r="D77" s="30"/>
      <c r="E77" s="30">
        <f t="shared" ref="E77:K77" si="8">SUM(E69:E76)</f>
        <v>4107</v>
      </c>
      <c r="F77" s="30">
        <f t="shared" si="8"/>
        <v>1335</v>
      </c>
      <c r="G77" s="30">
        <f t="shared" si="8"/>
        <v>1925</v>
      </c>
      <c r="H77" s="30">
        <f t="shared" si="8"/>
        <v>788</v>
      </c>
      <c r="I77" s="30">
        <f t="shared" si="8"/>
        <v>4048</v>
      </c>
      <c r="J77" s="30">
        <f t="shared" si="8"/>
        <v>21</v>
      </c>
      <c r="K77" s="30">
        <f t="shared" si="8"/>
        <v>38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6">
        <v>11.0</v>
      </c>
      <c r="B78" s="17" t="s">
        <v>46</v>
      </c>
      <c r="C78" s="22" t="s">
        <v>47</v>
      </c>
      <c r="D78" s="23">
        <v>1.0</v>
      </c>
      <c r="E78" s="24">
        <v>302.0</v>
      </c>
      <c r="F78" s="25">
        <v>164.0</v>
      </c>
      <c r="G78" s="25">
        <v>86.0</v>
      </c>
      <c r="H78" s="25">
        <v>45.0</v>
      </c>
      <c r="I78" s="25">
        <v>295.0</v>
      </c>
      <c r="J78" s="25">
        <v>6.0</v>
      </c>
      <c r="K78" s="25">
        <v>1.0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3"/>
      <c r="B79" s="26" t="s">
        <v>48</v>
      </c>
      <c r="C79" s="22" t="s">
        <v>47</v>
      </c>
      <c r="D79" s="23">
        <v>2.0</v>
      </c>
      <c r="E79" s="24">
        <v>616.0</v>
      </c>
      <c r="F79" s="25">
        <v>290.0</v>
      </c>
      <c r="G79" s="25">
        <v>211.0</v>
      </c>
      <c r="H79" s="25">
        <v>112.0</v>
      </c>
      <c r="I79" s="25">
        <v>613.0</v>
      </c>
      <c r="J79" s="25">
        <v>3.0</v>
      </c>
      <c r="K79" s="25">
        <v>0.0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3"/>
      <c r="B80" s="26"/>
      <c r="C80" s="22" t="s">
        <v>47</v>
      </c>
      <c r="D80" s="23">
        <v>3.0</v>
      </c>
      <c r="E80" s="24">
        <v>584.0</v>
      </c>
      <c r="F80" s="25">
        <v>225.0</v>
      </c>
      <c r="G80" s="25">
        <v>250.0</v>
      </c>
      <c r="H80" s="25">
        <v>108.0</v>
      </c>
      <c r="I80" s="25">
        <v>583.0</v>
      </c>
      <c r="J80" s="25">
        <v>1.0</v>
      </c>
      <c r="K80" s="25">
        <v>0.0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3"/>
      <c r="B81" s="26"/>
      <c r="C81" s="22" t="s">
        <v>47</v>
      </c>
      <c r="D81" s="23">
        <v>4.0</v>
      </c>
      <c r="E81" s="24">
        <v>560.0</v>
      </c>
      <c r="F81" s="25">
        <v>163.0</v>
      </c>
      <c r="G81" s="25">
        <v>294.0</v>
      </c>
      <c r="H81" s="25">
        <v>100.0</v>
      </c>
      <c r="I81" s="25">
        <v>557.0</v>
      </c>
      <c r="J81" s="25">
        <v>3.0</v>
      </c>
      <c r="K81" s="25">
        <v>0.0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3"/>
      <c r="B82" s="26"/>
      <c r="C82" s="22" t="s">
        <v>47</v>
      </c>
      <c r="D82" s="23">
        <v>5.0</v>
      </c>
      <c r="E82" s="24">
        <v>518.0</v>
      </c>
      <c r="F82" s="25">
        <v>162.0</v>
      </c>
      <c r="G82" s="25">
        <v>269.0</v>
      </c>
      <c r="H82" s="25">
        <v>87.0</v>
      </c>
      <c r="I82" s="25">
        <v>518.0</v>
      </c>
      <c r="J82" s="25">
        <v>0.0</v>
      </c>
      <c r="K82" s="25">
        <v>0.0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3"/>
      <c r="B83" s="26"/>
      <c r="C83" s="22" t="s">
        <v>47</v>
      </c>
      <c r="D83" s="23">
        <v>6.0</v>
      </c>
      <c r="E83" s="24">
        <v>519.0</v>
      </c>
      <c r="F83" s="25">
        <v>155.0</v>
      </c>
      <c r="G83" s="25">
        <v>267.0</v>
      </c>
      <c r="H83" s="25">
        <v>96.0</v>
      </c>
      <c r="I83" s="25">
        <v>518.0</v>
      </c>
      <c r="J83" s="25">
        <v>1.0</v>
      </c>
      <c r="K83" s="25">
        <v>0.0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3"/>
      <c r="B84" s="26"/>
      <c r="C84" s="22" t="s">
        <v>47</v>
      </c>
      <c r="D84" s="23">
        <v>7.0</v>
      </c>
      <c r="E84" s="24">
        <v>513.0</v>
      </c>
      <c r="F84" s="25">
        <v>148.0</v>
      </c>
      <c r="G84" s="25">
        <v>244.0</v>
      </c>
      <c r="H84" s="25">
        <v>121.0</v>
      </c>
      <c r="I84" s="25">
        <v>513.0</v>
      </c>
      <c r="J84" s="25">
        <v>0.0</v>
      </c>
      <c r="K84" s="25">
        <v>0.0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3"/>
      <c r="B85" s="26"/>
      <c r="C85" s="22" t="s">
        <v>47</v>
      </c>
      <c r="D85" s="23">
        <v>8.0</v>
      </c>
      <c r="E85" s="24">
        <v>575.0</v>
      </c>
      <c r="F85" s="25">
        <v>186.0</v>
      </c>
      <c r="G85" s="25">
        <v>275.0</v>
      </c>
      <c r="H85" s="25">
        <v>113.0</v>
      </c>
      <c r="I85" s="25">
        <v>574.0</v>
      </c>
      <c r="J85" s="25">
        <v>1.0</v>
      </c>
      <c r="K85" s="25">
        <v>0.0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4"/>
      <c r="B86" s="28"/>
      <c r="C86" s="29" t="s">
        <v>22</v>
      </c>
      <c r="D86" s="30"/>
      <c r="E86" s="30">
        <f t="shared" ref="E86:K86" si="9">SUM(E78:E85)</f>
        <v>4187</v>
      </c>
      <c r="F86" s="30">
        <f t="shared" si="9"/>
        <v>1493</v>
      </c>
      <c r="G86" s="30">
        <f t="shared" si="9"/>
        <v>1896</v>
      </c>
      <c r="H86" s="30">
        <f t="shared" si="9"/>
        <v>782</v>
      </c>
      <c r="I86" s="30">
        <f t="shared" si="9"/>
        <v>4171</v>
      </c>
      <c r="J86" s="30">
        <f t="shared" si="9"/>
        <v>15</v>
      </c>
      <c r="K86" s="30">
        <f t="shared" si="9"/>
        <v>1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6">
        <v>12.0</v>
      </c>
      <c r="B87" s="17" t="s">
        <v>49</v>
      </c>
      <c r="C87" s="22" t="s">
        <v>50</v>
      </c>
      <c r="D87" s="23">
        <v>1.0</v>
      </c>
      <c r="E87" s="24">
        <v>257.0</v>
      </c>
      <c r="F87" s="25">
        <v>164.0</v>
      </c>
      <c r="G87" s="25">
        <v>54.0</v>
      </c>
      <c r="H87" s="25">
        <v>31.0</v>
      </c>
      <c r="I87" s="25">
        <v>249.0</v>
      </c>
      <c r="J87" s="25">
        <v>8.0</v>
      </c>
      <c r="K87" s="25">
        <v>0.0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3"/>
      <c r="B88" s="26" t="s">
        <v>51</v>
      </c>
      <c r="C88" s="22" t="s">
        <v>50</v>
      </c>
      <c r="D88" s="23">
        <v>2.0</v>
      </c>
      <c r="E88" s="24">
        <v>537.0</v>
      </c>
      <c r="F88" s="25">
        <v>293.0</v>
      </c>
      <c r="G88" s="25">
        <v>165.0</v>
      </c>
      <c r="H88" s="25">
        <v>77.0</v>
      </c>
      <c r="I88" s="25">
        <v>535.0</v>
      </c>
      <c r="J88" s="25">
        <v>2.0</v>
      </c>
      <c r="K88" s="25">
        <v>0.0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3"/>
      <c r="B89" s="26"/>
      <c r="C89" s="22" t="s">
        <v>50</v>
      </c>
      <c r="D89" s="23">
        <v>3.0</v>
      </c>
      <c r="E89" s="24">
        <v>532.0</v>
      </c>
      <c r="F89" s="25">
        <v>256.0</v>
      </c>
      <c r="G89" s="25">
        <v>184.0</v>
      </c>
      <c r="H89" s="25">
        <v>84.0</v>
      </c>
      <c r="I89" s="25">
        <v>524.0</v>
      </c>
      <c r="J89" s="25">
        <v>8.0</v>
      </c>
      <c r="K89" s="25">
        <v>0.0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3"/>
      <c r="B90" s="26"/>
      <c r="C90" s="22" t="s">
        <v>50</v>
      </c>
      <c r="D90" s="23">
        <v>4.0</v>
      </c>
      <c r="E90" s="24">
        <v>519.0</v>
      </c>
      <c r="F90" s="25">
        <v>206.0</v>
      </c>
      <c r="G90" s="25">
        <v>188.0</v>
      </c>
      <c r="H90" s="25">
        <v>121.0</v>
      </c>
      <c r="I90" s="25">
        <v>515.0</v>
      </c>
      <c r="J90" s="25">
        <v>4.0</v>
      </c>
      <c r="K90" s="25">
        <v>0.0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3"/>
      <c r="B91" s="26"/>
      <c r="C91" s="22" t="s">
        <v>50</v>
      </c>
      <c r="D91" s="23">
        <v>5.0</v>
      </c>
      <c r="E91" s="24">
        <v>497.0</v>
      </c>
      <c r="F91" s="25">
        <v>193.0</v>
      </c>
      <c r="G91" s="25">
        <v>191.0</v>
      </c>
      <c r="H91" s="25">
        <v>108.0</v>
      </c>
      <c r="I91" s="25">
        <v>492.0</v>
      </c>
      <c r="J91" s="25">
        <v>5.0</v>
      </c>
      <c r="K91" s="25">
        <v>0.0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3"/>
      <c r="B92" s="26"/>
      <c r="C92" s="22" t="s">
        <v>50</v>
      </c>
      <c r="D92" s="23">
        <v>6.0</v>
      </c>
      <c r="E92" s="24">
        <v>471.0</v>
      </c>
      <c r="F92" s="25">
        <v>187.0</v>
      </c>
      <c r="G92" s="25">
        <v>166.0</v>
      </c>
      <c r="H92" s="25">
        <v>118.0</v>
      </c>
      <c r="I92" s="25">
        <v>471.0</v>
      </c>
      <c r="J92" s="25">
        <v>0.0</v>
      </c>
      <c r="K92" s="25">
        <v>0.0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3"/>
      <c r="B93" s="26"/>
      <c r="C93" s="22" t="s">
        <v>50</v>
      </c>
      <c r="D93" s="23">
        <v>7.0</v>
      </c>
      <c r="E93" s="24">
        <v>455.0</v>
      </c>
      <c r="F93" s="25">
        <v>167.0</v>
      </c>
      <c r="G93" s="25">
        <v>171.0</v>
      </c>
      <c r="H93" s="25">
        <v>112.0</v>
      </c>
      <c r="I93" s="25">
        <v>450.0</v>
      </c>
      <c r="J93" s="25">
        <v>5.0</v>
      </c>
      <c r="K93" s="25">
        <v>0.0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3"/>
      <c r="B94" s="26"/>
      <c r="C94" s="22" t="s">
        <v>50</v>
      </c>
      <c r="D94" s="23">
        <v>8.0</v>
      </c>
      <c r="E94" s="24">
        <v>469.0</v>
      </c>
      <c r="F94" s="25">
        <v>181.0</v>
      </c>
      <c r="G94" s="25">
        <v>162.0</v>
      </c>
      <c r="H94" s="25">
        <v>124.0</v>
      </c>
      <c r="I94" s="25">
        <v>467.0</v>
      </c>
      <c r="J94" s="25">
        <v>2.0</v>
      </c>
      <c r="K94" s="25">
        <v>0.0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4"/>
      <c r="B95" s="28"/>
      <c r="C95" s="29" t="s">
        <v>22</v>
      </c>
      <c r="D95" s="30"/>
      <c r="E95" s="30">
        <f t="shared" ref="E95:K95" si="10">SUM(E87:E94)</f>
        <v>3737</v>
      </c>
      <c r="F95" s="30">
        <f t="shared" si="10"/>
        <v>1647</v>
      </c>
      <c r="G95" s="30">
        <f t="shared" si="10"/>
        <v>1281</v>
      </c>
      <c r="H95" s="30">
        <f t="shared" si="10"/>
        <v>775</v>
      </c>
      <c r="I95" s="30">
        <f t="shared" si="10"/>
        <v>3703</v>
      </c>
      <c r="J95" s="30">
        <f t="shared" si="10"/>
        <v>34</v>
      </c>
      <c r="K95" s="30">
        <f t="shared" si="10"/>
        <v>0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6">
        <v>13.0</v>
      </c>
      <c r="B96" s="17" t="s">
        <v>52</v>
      </c>
      <c r="C96" s="18" t="s">
        <v>53</v>
      </c>
      <c r="D96" s="19">
        <v>1.0</v>
      </c>
      <c r="E96" s="20">
        <v>539.0</v>
      </c>
      <c r="F96" s="16">
        <v>225.0</v>
      </c>
      <c r="G96" s="16">
        <v>167.0</v>
      </c>
      <c r="H96" s="16">
        <v>147.0</v>
      </c>
      <c r="I96" s="16">
        <v>539.0</v>
      </c>
      <c r="J96" s="16">
        <v>0.0</v>
      </c>
      <c r="K96" s="16">
        <v>0.0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3"/>
      <c r="B97" s="26" t="s">
        <v>54</v>
      </c>
      <c r="C97" s="14"/>
      <c r="D97" s="14"/>
      <c r="E97" s="33"/>
      <c r="F97" s="13"/>
      <c r="G97" s="13"/>
      <c r="H97" s="13"/>
      <c r="I97" s="13"/>
      <c r="J97" s="13"/>
      <c r="K97" s="1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6">
        <v>14.0</v>
      </c>
      <c r="B98" s="17" t="s">
        <v>55</v>
      </c>
      <c r="C98" s="22" t="s">
        <v>53</v>
      </c>
      <c r="D98" s="23">
        <v>2.0</v>
      </c>
      <c r="E98" s="24">
        <v>288.0</v>
      </c>
      <c r="F98" s="25">
        <v>159.0</v>
      </c>
      <c r="G98" s="25">
        <v>69.0</v>
      </c>
      <c r="H98" s="25">
        <v>51.0</v>
      </c>
      <c r="I98" s="25">
        <v>279.0</v>
      </c>
      <c r="J98" s="25">
        <v>9.0</v>
      </c>
      <c r="K98" s="25">
        <v>0.0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3"/>
      <c r="B99" s="26" t="s">
        <v>56</v>
      </c>
      <c r="C99" s="22" t="s">
        <v>53</v>
      </c>
      <c r="D99" s="23">
        <v>3.0</v>
      </c>
      <c r="E99" s="24">
        <v>562.0</v>
      </c>
      <c r="F99" s="25">
        <v>305.0</v>
      </c>
      <c r="G99" s="25">
        <v>148.0</v>
      </c>
      <c r="H99" s="25">
        <v>100.0</v>
      </c>
      <c r="I99" s="25">
        <v>553.0</v>
      </c>
      <c r="J99" s="25">
        <v>9.0</v>
      </c>
      <c r="K99" s="25">
        <v>0.0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3"/>
      <c r="B100" s="26"/>
      <c r="C100" s="22" t="s">
        <v>53</v>
      </c>
      <c r="D100" s="23">
        <v>4.0</v>
      </c>
      <c r="E100" s="24">
        <v>521.0</v>
      </c>
      <c r="F100" s="25">
        <v>208.0</v>
      </c>
      <c r="G100" s="25">
        <v>195.0</v>
      </c>
      <c r="H100" s="25">
        <v>111.0</v>
      </c>
      <c r="I100" s="25">
        <v>514.0</v>
      </c>
      <c r="J100" s="25">
        <v>7.0</v>
      </c>
      <c r="K100" s="25">
        <v>0.0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3"/>
      <c r="B101" s="26"/>
      <c r="C101" s="22" t="s">
        <v>53</v>
      </c>
      <c r="D101" s="23">
        <v>5.0</v>
      </c>
      <c r="E101" s="24">
        <v>483.0</v>
      </c>
      <c r="F101" s="25">
        <v>178.0</v>
      </c>
      <c r="G101" s="25">
        <v>183.0</v>
      </c>
      <c r="H101" s="25">
        <v>111.0</v>
      </c>
      <c r="I101" s="25">
        <v>472.0</v>
      </c>
      <c r="J101" s="25">
        <v>11.0</v>
      </c>
      <c r="K101" s="25">
        <v>0.0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3"/>
      <c r="B102" s="26"/>
      <c r="C102" s="22" t="s">
        <v>53</v>
      </c>
      <c r="D102" s="23">
        <v>6.0</v>
      </c>
      <c r="E102" s="24">
        <v>483.0</v>
      </c>
      <c r="F102" s="25">
        <v>156.0</v>
      </c>
      <c r="G102" s="25">
        <v>187.0</v>
      </c>
      <c r="H102" s="25">
        <v>139.0</v>
      </c>
      <c r="I102" s="25">
        <v>482.0</v>
      </c>
      <c r="J102" s="25">
        <v>1.0</v>
      </c>
      <c r="K102" s="25">
        <v>0.0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4"/>
      <c r="B103" s="28"/>
      <c r="C103" s="29" t="s">
        <v>22</v>
      </c>
      <c r="D103" s="30"/>
      <c r="E103" s="30">
        <f t="shared" ref="E103:K103" si="11">SUM(E96:E102)</f>
        <v>2876</v>
      </c>
      <c r="F103" s="30">
        <f t="shared" si="11"/>
        <v>1231</v>
      </c>
      <c r="G103" s="30">
        <f t="shared" si="11"/>
        <v>949</v>
      </c>
      <c r="H103" s="30">
        <f t="shared" si="11"/>
        <v>659</v>
      </c>
      <c r="I103" s="30">
        <f t="shared" si="11"/>
        <v>2839</v>
      </c>
      <c r="J103" s="30">
        <f t="shared" si="11"/>
        <v>37</v>
      </c>
      <c r="K103" s="30">
        <f t="shared" si="11"/>
        <v>0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4">
        <v>15.0</v>
      </c>
      <c r="B104" s="26" t="s">
        <v>57</v>
      </c>
      <c r="C104" s="35" t="s">
        <v>58</v>
      </c>
      <c r="D104" s="36">
        <v>1.0</v>
      </c>
      <c r="E104" s="37">
        <v>304.0</v>
      </c>
      <c r="F104" s="38">
        <v>181.0</v>
      </c>
      <c r="G104" s="38">
        <v>62.0</v>
      </c>
      <c r="H104" s="38">
        <v>56.0</v>
      </c>
      <c r="I104" s="38">
        <v>299.0</v>
      </c>
      <c r="J104" s="38">
        <v>5.0</v>
      </c>
      <c r="K104" s="38">
        <v>0.0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3"/>
      <c r="B105" s="26" t="s">
        <v>59</v>
      </c>
      <c r="C105" s="27" t="s">
        <v>58</v>
      </c>
      <c r="D105" s="23">
        <v>2.0</v>
      </c>
      <c r="E105" s="24">
        <v>516.0</v>
      </c>
      <c r="F105" s="25">
        <v>255.0</v>
      </c>
      <c r="G105" s="25">
        <v>140.0</v>
      </c>
      <c r="H105" s="25">
        <v>120.0</v>
      </c>
      <c r="I105" s="25">
        <v>515.0</v>
      </c>
      <c r="J105" s="25">
        <v>1.0</v>
      </c>
      <c r="K105" s="25">
        <v>0.0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3"/>
      <c r="B106" s="26"/>
      <c r="C106" s="27" t="s">
        <v>58</v>
      </c>
      <c r="D106" s="23">
        <v>3.0</v>
      </c>
      <c r="E106" s="24">
        <v>481.0</v>
      </c>
      <c r="F106" s="25">
        <v>213.0</v>
      </c>
      <c r="G106" s="25">
        <v>146.0</v>
      </c>
      <c r="H106" s="25">
        <v>119.0</v>
      </c>
      <c r="I106" s="25">
        <v>478.0</v>
      </c>
      <c r="J106" s="25">
        <v>3.0</v>
      </c>
      <c r="K106" s="25">
        <v>0.0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3"/>
      <c r="B107" s="26"/>
      <c r="C107" s="27" t="s">
        <v>58</v>
      </c>
      <c r="D107" s="23">
        <v>4.0</v>
      </c>
      <c r="E107" s="24">
        <v>477.0</v>
      </c>
      <c r="F107" s="25">
        <v>167.0</v>
      </c>
      <c r="G107" s="25">
        <v>171.0</v>
      </c>
      <c r="H107" s="25">
        <v>138.0</v>
      </c>
      <c r="I107" s="25">
        <v>476.0</v>
      </c>
      <c r="J107" s="25">
        <v>1.0</v>
      </c>
      <c r="K107" s="25">
        <v>0.0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3"/>
      <c r="B108" s="26"/>
      <c r="C108" s="29" t="s">
        <v>22</v>
      </c>
      <c r="D108" s="30"/>
      <c r="E108" s="30">
        <f t="shared" ref="E108:K108" si="12">SUM(E104:E107)</f>
        <v>1778</v>
      </c>
      <c r="F108" s="30">
        <f t="shared" si="12"/>
        <v>816</v>
      </c>
      <c r="G108" s="30">
        <f t="shared" si="12"/>
        <v>519</v>
      </c>
      <c r="H108" s="30">
        <f t="shared" si="12"/>
        <v>433</v>
      </c>
      <c r="I108" s="30">
        <f t="shared" si="12"/>
        <v>1768</v>
      </c>
      <c r="J108" s="30">
        <f t="shared" si="12"/>
        <v>10</v>
      </c>
      <c r="K108" s="30">
        <f t="shared" si="12"/>
        <v>0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6">
        <v>16.0</v>
      </c>
      <c r="B109" s="17" t="s">
        <v>60</v>
      </c>
      <c r="C109" s="22" t="s">
        <v>61</v>
      </c>
      <c r="D109" s="23">
        <v>1.0</v>
      </c>
      <c r="E109" s="24">
        <v>248.0</v>
      </c>
      <c r="F109" s="25">
        <v>152.0</v>
      </c>
      <c r="G109" s="25">
        <v>47.0</v>
      </c>
      <c r="H109" s="25">
        <v>45.0</v>
      </c>
      <c r="I109" s="25">
        <v>244.0</v>
      </c>
      <c r="J109" s="25">
        <v>4.0</v>
      </c>
      <c r="K109" s="25">
        <v>0.0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3"/>
      <c r="B110" s="26" t="s">
        <v>62</v>
      </c>
      <c r="C110" s="22" t="s">
        <v>61</v>
      </c>
      <c r="D110" s="23">
        <v>2.0</v>
      </c>
      <c r="E110" s="24">
        <v>602.0</v>
      </c>
      <c r="F110" s="25">
        <v>338.0</v>
      </c>
      <c r="G110" s="25">
        <v>156.0</v>
      </c>
      <c r="H110" s="25">
        <v>98.0</v>
      </c>
      <c r="I110" s="25">
        <v>592.0</v>
      </c>
      <c r="J110" s="25">
        <v>10.0</v>
      </c>
      <c r="K110" s="25">
        <v>0.0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3"/>
      <c r="B111" s="26"/>
      <c r="C111" s="22" t="s">
        <v>61</v>
      </c>
      <c r="D111" s="23">
        <v>3.0</v>
      </c>
      <c r="E111" s="24">
        <v>593.0</v>
      </c>
      <c r="F111" s="25">
        <v>299.0</v>
      </c>
      <c r="G111" s="25">
        <v>160.0</v>
      </c>
      <c r="H111" s="25">
        <v>129.0</v>
      </c>
      <c r="I111" s="25">
        <v>588.0</v>
      </c>
      <c r="J111" s="25">
        <v>5.0</v>
      </c>
      <c r="K111" s="25">
        <v>0.0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3"/>
      <c r="B112" s="26"/>
      <c r="C112" s="22" t="s">
        <v>61</v>
      </c>
      <c r="D112" s="23">
        <v>4.0</v>
      </c>
      <c r="E112" s="24">
        <v>559.0</v>
      </c>
      <c r="F112" s="25">
        <v>267.0</v>
      </c>
      <c r="G112" s="25">
        <v>150.0</v>
      </c>
      <c r="H112" s="25">
        <v>136.0</v>
      </c>
      <c r="I112" s="25">
        <v>553.0</v>
      </c>
      <c r="J112" s="25">
        <v>6.0</v>
      </c>
      <c r="K112" s="25">
        <v>0.0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3"/>
      <c r="B113" s="26"/>
      <c r="C113" s="22" t="s">
        <v>61</v>
      </c>
      <c r="D113" s="23">
        <v>5.0</v>
      </c>
      <c r="E113" s="24">
        <v>535.0</v>
      </c>
      <c r="F113" s="25">
        <v>212.0</v>
      </c>
      <c r="G113" s="25">
        <v>200.0</v>
      </c>
      <c r="H113" s="25">
        <v>120.0</v>
      </c>
      <c r="I113" s="25">
        <v>532.0</v>
      </c>
      <c r="J113" s="25">
        <v>3.0</v>
      </c>
      <c r="K113" s="25">
        <v>0.0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3"/>
      <c r="B114" s="26"/>
      <c r="C114" s="18" t="s">
        <v>61</v>
      </c>
      <c r="D114" s="19">
        <v>6.0</v>
      </c>
      <c r="E114" s="20">
        <v>542.0</v>
      </c>
      <c r="F114" s="16">
        <v>200.0</v>
      </c>
      <c r="G114" s="16">
        <v>221.0</v>
      </c>
      <c r="H114" s="16">
        <v>118.0</v>
      </c>
      <c r="I114" s="16">
        <v>539.0</v>
      </c>
      <c r="J114" s="16">
        <v>3.0</v>
      </c>
      <c r="K114" s="16">
        <v>0.0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3"/>
      <c r="B115" s="26"/>
      <c r="C115" s="29" t="s">
        <v>22</v>
      </c>
      <c r="D115" s="30"/>
      <c r="E115" s="30">
        <f t="shared" ref="E115:K115" si="13">SUM(E109:E114)</f>
        <v>3079</v>
      </c>
      <c r="F115" s="30">
        <f t="shared" si="13"/>
        <v>1468</v>
      </c>
      <c r="G115" s="30">
        <f t="shared" si="13"/>
        <v>934</v>
      </c>
      <c r="H115" s="30">
        <f t="shared" si="13"/>
        <v>646</v>
      </c>
      <c r="I115" s="30">
        <f t="shared" si="13"/>
        <v>3048</v>
      </c>
      <c r="J115" s="30">
        <f t="shared" si="13"/>
        <v>31</v>
      </c>
      <c r="K115" s="30">
        <f t="shared" si="13"/>
        <v>0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6">
        <v>17.0</v>
      </c>
      <c r="B116" s="17" t="s">
        <v>63</v>
      </c>
      <c r="C116" s="22" t="s">
        <v>64</v>
      </c>
      <c r="D116" s="23">
        <v>1.0</v>
      </c>
      <c r="E116" s="24">
        <v>237.0</v>
      </c>
      <c r="F116" s="25">
        <v>151.0</v>
      </c>
      <c r="G116" s="25">
        <v>36.0</v>
      </c>
      <c r="H116" s="25">
        <v>34.0</v>
      </c>
      <c r="I116" s="25">
        <v>221.0</v>
      </c>
      <c r="J116" s="25">
        <v>16.0</v>
      </c>
      <c r="K116" s="25">
        <v>0.0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3"/>
      <c r="B117" s="26" t="s">
        <v>65</v>
      </c>
      <c r="C117" s="22" t="s">
        <v>64</v>
      </c>
      <c r="D117" s="23">
        <v>2.0</v>
      </c>
      <c r="E117" s="24">
        <v>510.0</v>
      </c>
      <c r="F117" s="25">
        <v>313.0</v>
      </c>
      <c r="G117" s="25">
        <v>94.0</v>
      </c>
      <c r="H117" s="25">
        <v>96.0</v>
      </c>
      <c r="I117" s="25">
        <v>503.0</v>
      </c>
      <c r="J117" s="25">
        <v>7.0</v>
      </c>
      <c r="K117" s="25">
        <v>0.0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3"/>
      <c r="B118" s="26"/>
      <c r="C118" s="22" t="s">
        <v>64</v>
      </c>
      <c r="D118" s="23">
        <v>3.0</v>
      </c>
      <c r="E118" s="24">
        <v>513.0</v>
      </c>
      <c r="F118" s="25">
        <v>232.0</v>
      </c>
      <c r="G118" s="25">
        <v>147.0</v>
      </c>
      <c r="H118" s="25">
        <v>130.0</v>
      </c>
      <c r="I118" s="25">
        <v>509.0</v>
      </c>
      <c r="J118" s="25">
        <v>4.0</v>
      </c>
      <c r="K118" s="25">
        <v>0.0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3"/>
      <c r="B119" s="26"/>
      <c r="C119" s="22" t="s">
        <v>64</v>
      </c>
      <c r="D119" s="23">
        <v>4.0</v>
      </c>
      <c r="E119" s="24">
        <v>473.0</v>
      </c>
      <c r="F119" s="25">
        <v>195.0</v>
      </c>
      <c r="G119" s="25">
        <v>142.0</v>
      </c>
      <c r="H119" s="25">
        <v>134.0</v>
      </c>
      <c r="I119" s="25">
        <v>471.0</v>
      </c>
      <c r="J119" s="25">
        <v>2.0</v>
      </c>
      <c r="K119" s="25">
        <v>0.0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3"/>
      <c r="B120" s="26"/>
      <c r="C120" s="22" t="s">
        <v>64</v>
      </c>
      <c r="D120" s="23">
        <v>5.0</v>
      </c>
      <c r="E120" s="24">
        <v>459.0</v>
      </c>
      <c r="F120" s="25">
        <v>184.0</v>
      </c>
      <c r="G120" s="25">
        <v>155.0</v>
      </c>
      <c r="H120" s="25">
        <v>118.0</v>
      </c>
      <c r="I120" s="25">
        <v>457.0</v>
      </c>
      <c r="J120" s="25">
        <v>2.0</v>
      </c>
      <c r="K120" s="25">
        <v>0.0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4"/>
      <c r="B121" s="28"/>
      <c r="C121" s="29" t="s">
        <v>22</v>
      </c>
      <c r="D121" s="30"/>
      <c r="E121" s="30">
        <f t="shared" ref="E121:K121" si="14">SUM(E116:E120)</f>
        <v>2192</v>
      </c>
      <c r="F121" s="30">
        <f t="shared" si="14"/>
        <v>1075</v>
      </c>
      <c r="G121" s="30">
        <f t="shared" si="14"/>
        <v>574</v>
      </c>
      <c r="H121" s="30">
        <f t="shared" si="14"/>
        <v>512</v>
      </c>
      <c r="I121" s="30">
        <f t="shared" si="14"/>
        <v>2161</v>
      </c>
      <c r="J121" s="30">
        <f t="shared" si="14"/>
        <v>31</v>
      </c>
      <c r="K121" s="30">
        <f t="shared" si="14"/>
        <v>0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6">
        <v>18.0</v>
      </c>
      <c r="B122" s="17" t="s">
        <v>66</v>
      </c>
      <c r="C122" s="27" t="s">
        <v>67</v>
      </c>
      <c r="D122" s="23">
        <v>1.0</v>
      </c>
      <c r="E122" s="24">
        <v>267.0</v>
      </c>
      <c r="F122" s="25">
        <v>169.0</v>
      </c>
      <c r="G122" s="25">
        <v>34.0</v>
      </c>
      <c r="H122" s="25">
        <v>55.0</v>
      </c>
      <c r="I122" s="25">
        <v>258.0</v>
      </c>
      <c r="J122" s="25">
        <v>9.0</v>
      </c>
      <c r="K122" s="25">
        <v>0.0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3"/>
      <c r="B123" s="26" t="s">
        <v>68</v>
      </c>
      <c r="C123" s="27" t="s">
        <v>67</v>
      </c>
      <c r="D123" s="23">
        <v>2.0</v>
      </c>
      <c r="E123" s="24">
        <v>579.0</v>
      </c>
      <c r="F123" s="25">
        <v>291.0</v>
      </c>
      <c r="G123" s="25">
        <v>155.0</v>
      </c>
      <c r="H123" s="25">
        <v>126.0</v>
      </c>
      <c r="I123" s="25">
        <v>572.0</v>
      </c>
      <c r="J123" s="25">
        <v>7.0</v>
      </c>
      <c r="K123" s="25">
        <v>0.0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3"/>
      <c r="B124" s="26"/>
      <c r="C124" s="27" t="s">
        <v>67</v>
      </c>
      <c r="D124" s="23">
        <v>3.0</v>
      </c>
      <c r="E124" s="24">
        <v>551.0</v>
      </c>
      <c r="F124" s="25">
        <v>236.0</v>
      </c>
      <c r="G124" s="25">
        <v>168.0</v>
      </c>
      <c r="H124" s="25">
        <v>146.0</v>
      </c>
      <c r="I124" s="25">
        <v>550.0</v>
      </c>
      <c r="J124" s="25">
        <v>1.0</v>
      </c>
      <c r="K124" s="25">
        <v>0.0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3"/>
      <c r="B125" s="26"/>
      <c r="C125" s="27" t="s">
        <v>67</v>
      </c>
      <c r="D125" s="23">
        <v>4.0</v>
      </c>
      <c r="E125" s="24">
        <v>534.0</v>
      </c>
      <c r="F125" s="25">
        <v>209.0</v>
      </c>
      <c r="G125" s="25">
        <v>184.0</v>
      </c>
      <c r="H125" s="25">
        <v>136.0</v>
      </c>
      <c r="I125" s="25">
        <v>529.0</v>
      </c>
      <c r="J125" s="25">
        <v>5.0</v>
      </c>
      <c r="K125" s="25">
        <v>0.0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4"/>
      <c r="B126" s="28"/>
      <c r="C126" s="29" t="s">
        <v>22</v>
      </c>
      <c r="D126" s="30"/>
      <c r="E126" s="30">
        <f t="shared" ref="E126:K126" si="15">SUM(E122:E125)</f>
        <v>1931</v>
      </c>
      <c r="F126" s="30">
        <f t="shared" si="15"/>
        <v>905</v>
      </c>
      <c r="G126" s="30">
        <f t="shared" si="15"/>
        <v>541</v>
      </c>
      <c r="H126" s="30">
        <f t="shared" si="15"/>
        <v>463</v>
      </c>
      <c r="I126" s="30">
        <f t="shared" si="15"/>
        <v>1909</v>
      </c>
      <c r="J126" s="30">
        <f t="shared" si="15"/>
        <v>22</v>
      </c>
      <c r="K126" s="30">
        <f t="shared" si="15"/>
        <v>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4">
        <v>19.0</v>
      </c>
      <c r="B127" s="26" t="s">
        <v>69</v>
      </c>
      <c r="C127" s="35" t="s">
        <v>70</v>
      </c>
      <c r="D127" s="36">
        <v>1.0</v>
      </c>
      <c r="E127" s="37">
        <v>292.0</v>
      </c>
      <c r="F127" s="38">
        <v>179.0</v>
      </c>
      <c r="G127" s="38">
        <v>69.0</v>
      </c>
      <c r="H127" s="38">
        <v>41.0</v>
      </c>
      <c r="I127" s="38">
        <v>289.0</v>
      </c>
      <c r="J127" s="38">
        <v>3.0</v>
      </c>
      <c r="K127" s="38">
        <v>0.0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3"/>
      <c r="B128" s="26" t="s">
        <v>71</v>
      </c>
      <c r="C128" s="27" t="s">
        <v>70</v>
      </c>
      <c r="D128" s="23">
        <v>2.0</v>
      </c>
      <c r="E128" s="24">
        <v>506.0</v>
      </c>
      <c r="F128" s="25">
        <v>208.0</v>
      </c>
      <c r="G128" s="25">
        <v>165.0</v>
      </c>
      <c r="H128" s="25">
        <v>130.0</v>
      </c>
      <c r="I128" s="25">
        <v>503.0</v>
      </c>
      <c r="J128" s="25">
        <v>3.0</v>
      </c>
      <c r="K128" s="25">
        <v>0.0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3"/>
      <c r="B129" s="26"/>
      <c r="C129" s="27" t="s">
        <v>70</v>
      </c>
      <c r="D129" s="23">
        <v>3.0</v>
      </c>
      <c r="E129" s="24">
        <v>470.0</v>
      </c>
      <c r="F129" s="25">
        <v>176.0</v>
      </c>
      <c r="G129" s="25">
        <v>177.0</v>
      </c>
      <c r="H129" s="25">
        <v>116.0</v>
      </c>
      <c r="I129" s="25">
        <v>469.0</v>
      </c>
      <c r="J129" s="25">
        <v>1.0</v>
      </c>
      <c r="K129" s="25">
        <v>0.0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3"/>
      <c r="B130" s="26"/>
      <c r="C130" s="29" t="s">
        <v>22</v>
      </c>
      <c r="D130" s="30"/>
      <c r="E130" s="30">
        <f t="shared" ref="E130:K130" si="16">SUM(E127:E129)</f>
        <v>1268</v>
      </c>
      <c r="F130" s="30">
        <f t="shared" si="16"/>
        <v>563</v>
      </c>
      <c r="G130" s="30">
        <f t="shared" si="16"/>
        <v>411</v>
      </c>
      <c r="H130" s="30">
        <f t="shared" si="16"/>
        <v>287</v>
      </c>
      <c r="I130" s="30">
        <f t="shared" si="16"/>
        <v>1261</v>
      </c>
      <c r="J130" s="30">
        <f t="shared" si="16"/>
        <v>7</v>
      </c>
      <c r="K130" s="30">
        <f t="shared" si="16"/>
        <v>0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6">
        <v>20.0</v>
      </c>
      <c r="B131" s="17" t="s">
        <v>72</v>
      </c>
      <c r="C131" s="27" t="s">
        <v>70</v>
      </c>
      <c r="D131" s="23">
        <v>4.0</v>
      </c>
      <c r="E131" s="24">
        <v>284.0</v>
      </c>
      <c r="F131" s="25">
        <v>83.0</v>
      </c>
      <c r="G131" s="25">
        <v>185.0</v>
      </c>
      <c r="H131" s="25">
        <v>15.0</v>
      </c>
      <c r="I131" s="25">
        <v>283.0</v>
      </c>
      <c r="J131" s="25">
        <v>1.0</v>
      </c>
      <c r="K131" s="25">
        <v>0.0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3"/>
      <c r="B132" s="26" t="s">
        <v>73</v>
      </c>
      <c r="C132" s="27" t="s">
        <v>70</v>
      </c>
      <c r="D132" s="23">
        <v>5.0</v>
      </c>
      <c r="E132" s="24">
        <v>354.0</v>
      </c>
      <c r="F132" s="25">
        <v>77.0</v>
      </c>
      <c r="G132" s="25">
        <v>242.0</v>
      </c>
      <c r="H132" s="25">
        <v>32.0</v>
      </c>
      <c r="I132" s="25">
        <v>351.0</v>
      </c>
      <c r="J132" s="25">
        <v>3.0</v>
      </c>
      <c r="K132" s="25">
        <v>0.0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3"/>
      <c r="B133" s="26"/>
      <c r="C133" s="27" t="s">
        <v>70</v>
      </c>
      <c r="D133" s="23">
        <v>6.0</v>
      </c>
      <c r="E133" s="24">
        <v>340.0</v>
      </c>
      <c r="F133" s="25">
        <v>69.0</v>
      </c>
      <c r="G133" s="25">
        <v>217.0</v>
      </c>
      <c r="H133" s="25">
        <v>54.0</v>
      </c>
      <c r="I133" s="25">
        <v>340.0</v>
      </c>
      <c r="J133" s="25">
        <v>0.0</v>
      </c>
      <c r="K133" s="25">
        <v>0.0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4"/>
      <c r="B134" s="28"/>
      <c r="C134" s="29" t="s">
        <v>22</v>
      </c>
      <c r="D134" s="30"/>
      <c r="E134" s="30">
        <f t="shared" ref="E134:K134" si="17">SUM(E131:E133)</f>
        <v>978</v>
      </c>
      <c r="F134" s="30">
        <f t="shared" si="17"/>
        <v>229</v>
      </c>
      <c r="G134" s="30">
        <f t="shared" si="17"/>
        <v>644</v>
      </c>
      <c r="H134" s="30">
        <f t="shared" si="17"/>
        <v>101</v>
      </c>
      <c r="I134" s="30">
        <f t="shared" si="17"/>
        <v>974</v>
      </c>
      <c r="J134" s="30">
        <f t="shared" si="17"/>
        <v>4</v>
      </c>
      <c r="K134" s="30">
        <f t="shared" si="17"/>
        <v>0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6">
        <v>21.0</v>
      </c>
      <c r="B135" s="17" t="s">
        <v>74</v>
      </c>
      <c r="C135" s="22" t="s">
        <v>75</v>
      </c>
      <c r="D135" s="23">
        <v>1.0</v>
      </c>
      <c r="E135" s="24">
        <v>239.0</v>
      </c>
      <c r="F135" s="25">
        <v>46.0</v>
      </c>
      <c r="G135" s="25">
        <v>168.0</v>
      </c>
      <c r="H135" s="25">
        <v>15.0</v>
      </c>
      <c r="I135" s="25">
        <v>229.0</v>
      </c>
      <c r="J135" s="25">
        <v>10.0</v>
      </c>
      <c r="K135" s="25">
        <v>0.0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3"/>
      <c r="B136" s="26" t="s">
        <v>76</v>
      </c>
      <c r="C136" s="22" t="s">
        <v>75</v>
      </c>
      <c r="D136" s="23">
        <v>2.0</v>
      </c>
      <c r="E136" s="24">
        <v>562.0</v>
      </c>
      <c r="F136" s="25">
        <v>99.0</v>
      </c>
      <c r="G136" s="25">
        <v>448.0</v>
      </c>
      <c r="H136" s="25">
        <v>6.0</v>
      </c>
      <c r="I136" s="25">
        <v>553.0</v>
      </c>
      <c r="J136" s="25">
        <v>9.0</v>
      </c>
      <c r="K136" s="25">
        <v>0.0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3"/>
      <c r="B137" s="26"/>
      <c r="C137" s="22" t="s">
        <v>75</v>
      </c>
      <c r="D137" s="23">
        <v>3.0</v>
      </c>
      <c r="E137" s="24">
        <v>579.0</v>
      </c>
      <c r="F137" s="25">
        <v>96.0</v>
      </c>
      <c r="G137" s="25">
        <v>467.0</v>
      </c>
      <c r="H137" s="25">
        <v>8.0</v>
      </c>
      <c r="I137" s="25">
        <v>571.0</v>
      </c>
      <c r="J137" s="25">
        <v>8.0</v>
      </c>
      <c r="K137" s="25">
        <v>0.0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3"/>
      <c r="B138" s="26"/>
      <c r="C138" s="22" t="s">
        <v>75</v>
      </c>
      <c r="D138" s="23">
        <v>4.0</v>
      </c>
      <c r="E138" s="24">
        <v>564.0</v>
      </c>
      <c r="F138" s="25">
        <v>67.0</v>
      </c>
      <c r="G138" s="25">
        <v>478.0</v>
      </c>
      <c r="H138" s="25">
        <v>13.0</v>
      </c>
      <c r="I138" s="25">
        <v>558.0</v>
      </c>
      <c r="J138" s="25">
        <v>6.0</v>
      </c>
      <c r="K138" s="25">
        <v>0.0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3"/>
      <c r="B139" s="26"/>
      <c r="C139" s="22" t="s">
        <v>75</v>
      </c>
      <c r="D139" s="23">
        <v>5.0</v>
      </c>
      <c r="E139" s="24">
        <v>501.0</v>
      </c>
      <c r="F139" s="25">
        <v>42.0</v>
      </c>
      <c r="G139" s="25">
        <v>446.0</v>
      </c>
      <c r="H139" s="25">
        <v>8.0</v>
      </c>
      <c r="I139" s="25">
        <v>496.0</v>
      </c>
      <c r="J139" s="25">
        <v>5.0</v>
      </c>
      <c r="K139" s="25">
        <v>0.0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3"/>
      <c r="B140" s="26"/>
      <c r="C140" s="22" t="s">
        <v>75</v>
      </c>
      <c r="D140" s="23">
        <v>6.0</v>
      </c>
      <c r="E140" s="24">
        <v>514.0</v>
      </c>
      <c r="F140" s="25">
        <v>50.0</v>
      </c>
      <c r="G140" s="25">
        <v>450.0</v>
      </c>
      <c r="H140" s="25">
        <v>13.0</v>
      </c>
      <c r="I140" s="25">
        <v>513.0</v>
      </c>
      <c r="J140" s="25">
        <v>1.0</v>
      </c>
      <c r="K140" s="25">
        <v>0.0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4"/>
      <c r="B141" s="28"/>
      <c r="C141" s="29" t="s">
        <v>22</v>
      </c>
      <c r="D141" s="30"/>
      <c r="E141" s="30">
        <f t="shared" ref="E141:K141" si="18">SUM(E135:E140)</f>
        <v>2959</v>
      </c>
      <c r="F141" s="30">
        <f t="shared" si="18"/>
        <v>400</v>
      </c>
      <c r="G141" s="30">
        <f t="shared" si="18"/>
        <v>2457</v>
      </c>
      <c r="H141" s="30">
        <f t="shared" si="18"/>
        <v>63</v>
      </c>
      <c r="I141" s="30">
        <f t="shared" si="18"/>
        <v>2920</v>
      </c>
      <c r="J141" s="30">
        <f t="shared" si="18"/>
        <v>39</v>
      </c>
      <c r="K141" s="30">
        <f t="shared" si="18"/>
        <v>0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6">
        <v>22.0</v>
      </c>
      <c r="B142" s="17" t="s">
        <v>77</v>
      </c>
      <c r="C142" s="22" t="s">
        <v>78</v>
      </c>
      <c r="D142" s="23">
        <v>1.0</v>
      </c>
      <c r="E142" s="24">
        <v>303.0</v>
      </c>
      <c r="F142" s="25">
        <v>204.0</v>
      </c>
      <c r="G142" s="25">
        <v>31.0</v>
      </c>
      <c r="H142" s="25">
        <v>65.0</v>
      </c>
      <c r="I142" s="25">
        <v>300.0</v>
      </c>
      <c r="J142" s="25">
        <v>3.0</v>
      </c>
      <c r="K142" s="25">
        <v>0.0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3"/>
      <c r="B143" s="26" t="s">
        <v>79</v>
      </c>
      <c r="C143" s="22" t="s">
        <v>78</v>
      </c>
      <c r="D143" s="23">
        <v>2.0</v>
      </c>
      <c r="E143" s="24">
        <v>402.0</v>
      </c>
      <c r="F143" s="25">
        <v>197.0</v>
      </c>
      <c r="G143" s="25">
        <v>82.0</v>
      </c>
      <c r="H143" s="25">
        <v>119.0</v>
      </c>
      <c r="I143" s="25">
        <v>398.0</v>
      </c>
      <c r="J143" s="25">
        <v>4.0</v>
      </c>
      <c r="K143" s="25">
        <v>0.0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3"/>
      <c r="B144" s="26"/>
      <c r="C144" s="22" t="s">
        <v>78</v>
      </c>
      <c r="D144" s="23">
        <v>3.0</v>
      </c>
      <c r="E144" s="24">
        <v>400.0</v>
      </c>
      <c r="F144" s="25">
        <v>218.0</v>
      </c>
      <c r="G144" s="25">
        <v>78.0</v>
      </c>
      <c r="H144" s="25">
        <v>103.0</v>
      </c>
      <c r="I144" s="25">
        <v>399.0</v>
      </c>
      <c r="J144" s="25">
        <v>1.0</v>
      </c>
      <c r="K144" s="25">
        <v>0.0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4"/>
      <c r="B145" s="28"/>
      <c r="C145" s="29" t="s">
        <v>22</v>
      </c>
      <c r="D145" s="30"/>
      <c r="E145" s="30">
        <f t="shared" ref="E145:K145" si="19">SUM(E142:E144)</f>
        <v>1105</v>
      </c>
      <c r="F145" s="30">
        <f t="shared" si="19"/>
        <v>619</v>
      </c>
      <c r="G145" s="30">
        <f t="shared" si="19"/>
        <v>191</v>
      </c>
      <c r="H145" s="30">
        <f t="shared" si="19"/>
        <v>287</v>
      </c>
      <c r="I145" s="30">
        <f t="shared" si="19"/>
        <v>1097</v>
      </c>
      <c r="J145" s="30">
        <f t="shared" si="19"/>
        <v>8</v>
      </c>
      <c r="K145" s="30">
        <f t="shared" si="19"/>
        <v>0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6">
        <v>23.0</v>
      </c>
      <c r="B146" s="17" t="s">
        <v>80</v>
      </c>
      <c r="C146" s="22" t="s">
        <v>81</v>
      </c>
      <c r="D146" s="23">
        <v>1.0</v>
      </c>
      <c r="E146" s="24">
        <v>317.0</v>
      </c>
      <c r="F146" s="25">
        <v>181.0</v>
      </c>
      <c r="G146" s="25">
        <v>55.0</v>
      </c>
      <c r="H146" s="25">
        <v>76.0</v>
      </c>
      <c r="I146" s="25">
        <v>312.0</v>
      </c>
      <c r="J146" s="25">
        <v>5.0</v>
      </c>
      <c r="K146" s="25">
        <v>0.0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3"/>
      <c r="B147" s="26" t="s">
        <v>82</v>
      </c>
      <c r="C147" s="22" t="s">
        <v>81</v>
      </c>
      <c r="D147" s="23">
        <v>2.0</v>
      </c>
      <c r="E147" s="24">
        <v>322.0</v>
      </c>
      <c r="F147" s="25">
        <v>145.0</v>
      </c>
      <c r="G147" s="25">
        <v>91.0</v>
      </c>
      <c r="H147" s="25">
        <v>82.0</v>
      </c>
      <c r="I147" s="25">
        <v>318.0</v>
      </c>
      <c r="J147" s="25">
        <v>4.0</v>
      </c>
      <c r="K147" s="25">
        <v>0.0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4"/>
      <c r="B148" s="28"/>
      <c r="C148" s="29" t="s">
        <v>22</v>
      </c>
      <c r="D148" s="30"/>
      <c r="E148" s="30">
        <f t="shared" ref="E148:K148" si="20">SUM(E146:E147)</f>
        <v>639</v>
      </c>
      <c r="F148" s="30">
        <f t="shared" si="20"/>
        <v>326</v>
      </c>
      <c r="G148" s="30">
        <f t="shared" si="20"/>
        <v>146</v>
      </c>
      <c r="H148" s="30">
        <f t="shared" si="20"/>
        <v>158</v>
      </c>
      <c r="I148" s="30">
        <f t="shared" si="20"/>
        <v>630</v>
      </c>
      <c r="J148" s="30">
        <f t="shared" si="20"/>
        <v>9</v>
      </c>
      <c r="K148" s="30">
        <f t="shared" si="20"/>
        <v>0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6">
        <v>24.0</v>
      </c>
      <c r="B149" s="17" t="s">
        <v>83</v>
      </c>
      <c r="C149" s="22" t="s">
        <v>84</v>
      </c>
      <c r="D149" s="23">
        <v>1.0</v>
      </c>
      <c r="E149" s="24">
        <v>309.0</v>
      </c>
      <c r="F149" s="25">
        <v>187.0</v>
      </c>
      <c r="G149" s="25">
        <v>54.0</v>
      </c>
      <c r="H149" s="25">
        <v>60.0</v>
      </c>
      <c r="I149" s="25">
        <v>301.0</v>
      </c>
      <c r="J149" s="25">
        <v>8.0</v>
      </c>
      <c r="K149" s="25">
        <v>0.0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3"/>
      <c r="B150" s="26" t="s">
        <v>85</v>
      </c>
      <c r="C150" s="22" t="s">
        <v>84</v>
      </c>
      <c r="D150" s="23">
        <v>2.0</v>
      </c>
      <c r="E150" s="24">
        <v>466.0</v>
      </c>
      <c r="F150" s="25">
        <v>259.0</v>
      </c>
      <c r="G150" s="25">
        <v>112.0</v>
      </c>
      <c r="H150" s="25">
        <v>87.0</v>
      </c>
      <c r="I150" s="25">
        <v>458.0</v>
      </c>
      <c r="J150" s="25">
        <v>8.0</v>
      </c>
      <c r="K150" s="25">
        <v>0.0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3"/>
      <c r="B151" s="26"/>
      <c r="C151" s="22" t="s">
        <v>84</v>
      </c>
      <c r="D151" s="23">
        <v>3.0</v>
      </c>
      <c r="E151" s="24">
        <v>396.0</v>
      </c>
      <c r="F151" s="25">
        <v>155.0</v>
      </c>
      <c r="G151" s="25">
        <v>148.0</v>
      </c>
      <c r="H151" s="25">
        <v>88.0</v>
      </c>
      <c r="I151" s="25">
        <v>391.0</v>
      </c>
      <c r="J151" s="25">
        <v>5.0</v>
      </c>
      <c r="K151" s="25">
        <v>0.0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3"/>
      <c r="B152" s="26"/>
      <c r="C152" s="22" t="s">
        <v>84</v>
      </c>
      <c r="D152" s="23">
        <v>4.0</v>
      </c>
      <c r="E152" s="24">
        <v>416.0</v>
      </c>
      <c r="F152" s="25">
        <v>163.0</v>
      </c>
      <c r="G152" s="25">
        <v>150.0</v>
      </c>
      <c r="H152" s="25">
        <v>101.0</v>
      </c>
      <c r="I152" s="25">
        <v>414.0</v>
      </c>
      <c r="J152" s="25">
        <v>2.0</v>
      </c>
      <c r="K152" s="25">
        <v>0.0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4"/>
      <c r="B153" s="28"/>
      <c r="C153" s="29" t="s">
        <v>22</v>
      </c>
      <c r="D153" s="30"/>
      <c r="E153" s="30">
        <f t="shared" ref="E153:K153" si="21">SUM(E149:E152)</f>
        <v>1587</v>
      </c>
      <c r="F153" s="30">
        <f t="shared" si="21"/>
        <v>764</v>
      </c>
      <c r="G153" s="30">
        <f t="shared" si="21"/>
        <v>464</v>
      </c>
      <c r="H153" s="30">
        <f t="shared" si="21"/>
        <v>336</v>
      </c>
      <c r="I153" s="30">
        <f t="shared" si="21"/>
        <v>1564</v>
      </c>
      <c r="J153" s="30">
        <f t="shared" si="21"/>
        <v>23</v>
      </c>
      <c r="K153" s="30">
        <f t="shared" si="21"/>
        <v>0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6">
        <v>25.0</v>
      </c>
      <c r="B154" s="17" t="s">
        <v>86</v>
      </c>
      <c r="C154" s="22" t="s">
        <v>87</v>
      </c>
      <c r="D154" s="23">
        <v>1.0</v>
      </c>
      <c r="E154" s="24">
        <v>263.0</v>
      </c>
      <c r="F154" s="25">
        <v>80.0</v>
      </c>
      <c r="G154" s="25">
        <v>163.0</v>
      </c>
      <c r="H154" s="25">
        <v>5.0</v>
      </c>
      <c r="I154" s="25">
        <v>248.0</v>
      </c>
      <c r="J154" s="25">
        <v>15.0</v>
      </c>
      <c r="K154" s="25">
        <v>0.0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3"/>
      <c r="B155" s="26" t="s">
        <v>88</v>
      </c>
      <c r="C155" s="22" t="s">
        <v>87</v>
      </c>
      <c r="D155" s="23">
        <v>2.0</v>
      </c>
      <c r="E155" s="24">
        <v>585.0</v>
      </c>
      <c r="F155" s="25">
        <v>171.0</v>
      </c>
      <c r="G155" s="25">
        <v>377.0</v>
      </c>
      <c r="H155" s="25">
        <v>25.0</v>
      </c>
      <c r="I155" s="25">
        <v>573.0</v>
      </c>
      <c r="J155" s="25">
        <v>12.0</v>
      </c>
      <c r="K155" s="25">
        <v>0.0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3"/>
      <c r="B156" s="26"/>
      <c r="C156" s="22" t="s">
        <v>87</v>
      </c>
      <c r="D156" s="23">
        <v>3.0</v>
      </c>
      <c r="E156" s="24">
        <v>584.0</v>
      </c>
      <c r="F156" s="25">
        <v>129.0</v>
      </c>
      <c r="G156" s="25">
        <v>419.0</v>
      </c>
      <c r="H156" s="25">
        <v>32.0</v>
      </c>
      <c r="I156" s="25">
        <v>580.0</v>
      </c>
      <c r="J156" s="25">
        <v>4.0</v>
      </c>
      <c r="K156" s="25">
        <v>0.0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3"/>
      <c r="B157" s="26"/>
      <c r="C157" s="22" t="s">
        <v>87</v>
      </c>
      <c r="D157" s="23">
        <v>4.0</v>
      </c>
      <c r="E157" s="24">
        <v>519.0</v>
      </c>
      <c r="F157" s="25">
        <v>85.0</v>
      </c>
      <c r="G157" s="25">
        <v>399.0</v>
      </c>
      <c r="H157" s="25">
        <v>32.0</v>
      </c>
      <c r="I157" s="25">
        <v>516.0</v>
      </c>
      <c r="J157" s="25">
        <v>3.0</v>
      </c>
      <c r="K157" s="25">
        <v>0.0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3"/>
      <c r="B158" s="26"/>
      <c r="C158" s="22" t="s">
        <v>87</v>
      </c>
      <c r="D158" s="23">
        <v>5.0</v>
      </c>
      <c r="E158" s="24">
        <v>506.0</v>
      </c>
      <c r="F158" s="25">
        <v>117.0</v>
      </c>
      <c r="G158" s="25">
        <v>335.0</v>
      </c>
      <c r="H158" s="25">
        <v>52.0</v>
      </c>
      <c r="I158" s="25">
        <v>504.0</v>
      </c>
      <c r="J158" s="25">
        <v>2.0</v>
      </c>
      <c r="K158" s="25">
        <v>0.0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4"/>
      <c r="B159" s="28"/>
      <c r="C159" s="29" t="s">
        <v>22</v>
      </c>
      <c r="D159" s="30"/>
      <c r="E159" s="30">
        <f t="shared" ref="E159:K159" si="22">SUM(E154:E158)</f>
        <v>2457</v>
      </c>
      <c r="F159" s="30">
        <f t="shared" si="22"/>
        <v>582</v>
      </c>
      <c r="G159" s="30">
        <f t="shared" si="22"/>
        <v>1693</v>
      </c>
      <c r="H159" s="30">
        <f t="shared" si="22"/>
        <v>146</v>
      </c>
      <c r="I159" s="30">
        <f t="shared" si="22"/>
        <v>2421</v>
      </c>
      <c r="J159" s="30">
        <f t="shared" si="22"/>
        <v>36</v>
      </c>
      <c r="K159" s="30">
        <f t="shared" si="22"/>
        <v>0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6">
        <v>26.0</v>
      </c>
      <c r="B160" s="17" t="s">
        <v>89</v>
      </c>
      <c r="C160" s="27" t="s">
        <v>90</v>
      </c>
      <c r="D160" s="23">
        <v>1.0</v>
      </c>
      <c r="E160" s="24">
        <v>247.0</v>
      </c>
      <c r="F160" s="25">
        <v>71.0</v>
      </c>
      <c r="G160" s="25">
        <v>164.0</v>
      </c>
      <c r="H160" s="25">
        <v>7.0</v>
      </c>
      <c r="I160" s="25">
        <v>242.0</v>
      </c>
      <c r="J160" s="25">
        <v>5.0</v>
      </c>
      <c r="K160" s="25">
        <v>0.0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3"/>
      <c r="B161" s="26" t="s">
        <v>91</v>
      </c>
      <c r="C161" s="27" t="s">
        <v>90</v>
      </c>
      <c r="D161" s="23">
        <v>2.0</v>
      </c>
      <c r="E161" s="24">
        <v>264.0</v>
      </c>
      <c r="F161" s="25">
        <v>55.0</v>
      </c>
      <c r="G161" s="25">
        <v>197.0</v>
      </c>
      <c r="H161" s="25">
        <v>12.0</v>
      </c>
      <c r="I161" s="25">
        <v>264.0</v>
      </c>
      <c r="J161" s="25">
        <v>0.0</v>
      </c>
      <c r="K161" s="25">
        <v>0.0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4"/>
      <c r="B162" s="28"/>
      <c r="C162" s="29" t="s">
        <v>22</v>
      </c>
      <c r="D162" s="30"/>
      <c r="E162" s="30">
        <f t="shared" ref="E162:K162" si="23">SUM(E160:E161)</f>
        <v>511</v>
      </c>
      <c r="F162" s="30">
        <f t="shared" si="23"/>
        <v>126</v>
      </c>
      <c r="G162" s="30">
        <f t="shared" si="23"/>
        <v>361</v>
      </c>
      <c r="H162" s="30">
        <f t="shared" si="23"/>
        <v>19</v>
      </c>
      <c r="I162" s="30">
        <f t="shared" si="23"/>
        <v>506</v>
      </c>
      <c r="J162" s="30">
        <f t="shared" si="23"/>
        <v>5</v>
      </c>
      <c r="K162" s="30">
        <f t="shared" si="23"/>
        <v>0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6">
        <v>27.0</v>
      </c>
      <c r="B163" s="17" t="s">
        <v>92</v>
      </c>
      <c r="C163" s="22" t="s">
        <v>93</v>
      </c>
      <c r="D163" s="23">
        <v>1.0</v>
      </c>
      <c r="E163" s="24">
        <v>224.0</v>
      </c>
      <c r="F163" s="25">
        <v>118.0</v>
      </c>
      <c r="G163" s="25">
        <v>84.0</v>
      </c>
      <c r="H163" s="25">
        <v>17.0</v>
      </c>
      <c r="I163" s="25">
        <v>219.0</v>
      </c>
      <c r="J163" s="25">
        <v>5.0</v>
      </c>
      <c r="K163" s="25">
        <v>0.0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3"/>
      <c r="B164" s="26" t="s">
        <v>94</v>
      </c>
      <c r="C164" s="22" t="s">
        <v>93</v>
      </c>
      <c r="D164" s="23">
        <v>2.0</v>
      </c>
      <c r="E164" s="24">
        <v>432.0</v>
      </c>
      <c r="F164" s="25">
        <v>201.0</v>
      </c>
      <c r="G164" s="25">
        <v>168.0</v>
      </c>
      <c r="H164" s="25">
        <v>52.0</v>
      </c>
      <c r="I164" s="25">
        <v>421.0</v>
      </c>
      <c r="J164" s="25">
        <v>10.0</v>
      </c>
      <c r="K164" s="25">
        <v>1.0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3"/>
      <c r="B165" s="26"/>
      <c r="C165" s="22" t="s">
        <v>93</v>
      </c>
      <c r="D165" s="23">
        <v>3.0</v>
      </c>
      <c r="E165" s="24">
        <v>382.0</v>
      </c>
      <c r="F165" s="25">
        <v>187.0</v>
      </c>
      <c r="G165" s="25">
        <v>153.0</v>
      </c>
      <c r="H165" s="25">
        <v>38.0</v>
      </c>
      <c r="I165" s="25">
        <v>378.0</v>
      </c>
      <c r="J165" s="25">
        <v>4.0</v>
      </c>
      <c r="K165" s="25">
        <v>0.0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3"/>
      <c r="B166" s="26"/>
      <c r="C166" s="29" t="s">
        <v>22</v>
      </c>
      <c r="D166" s="30"/>
      <c r="E166" s="30">
        <f t="shared" ref="E166:K166" si="24">SUM(E163:E165)</f>
        <v>1038</v>
      </c>
      <c r="F166" s="30">
        <f t="shared" si="24"/>
        <v>506</v>
      </c>
      <c r="G166" s="30">
        <f t="shared" si="24"/>
        <v>405</v>
      </c>
      <c r="H166" s="30">
        <f t="shared" si="24"/>
        <v>107</v>
      </c>
      <c r="I166" s="30">
        <f t="shared" si="24"/>
        <v>1018</v>
      </c>
      <c r="J166" s="30">
        <f t="shared" si="24"/>
        <v>19</v>
      </c>
      <c r="K166" s="30">
        <f t="shared" si="24"/>
        <v>1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6">
        <v>28.0</v>
      </c>
      <c r="B167" s="17" t="s">
        <v>95</v>
      </c>
      <c r="C167" s="18" t="s">
        <v>96</v>
      </c>
      <c r="D167" s="19">
        <v>1.0</v>
      </c>
      <c r="E167" s="20">
        <v>584.0</v>
      </c>
      <c r="F167" s="16">
        <v>542.0</v>
      </c>
      <c r="G167" s="16">
        <v>18.0</v>
      </c>
      <c r="H167" s="16">
        <v>4.0</v>
      </c>
      <c r="I167" s="16">
        <v>564.0</v>
      </c>
      <c r="J167" s="16">
        <v>20.0</v>
      </c>
      <c r="K167" s="16">
        <v>0.0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4"/>
      <c r="B168" s="28" t="s">
        <v>97</v>
      </c>
      <c r="C168" s="29" t="s">
        <v>22</v>
      </c>
      <c r="D168" s="30"/>
      <c r="E168" s="31">
        <v>584.0</v>
      </c>
      <c r="F168" s="32">
        <v>542.0</v>
      </c>
      <c r="G168" s="32">
        <v>18.0</v>
      </c>
      <c r="H168" s="32">
        <v>4.0</v>
      </c>
      <c r="I168" s="32">
        <v>564.0</v>
      </c>
      <c r="J168" s="32">
        <v>20.0</v>
      </c>
      <c r="K168" s="32">
        <v>0.0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6">
        <v>29.0</v>
      </c>
      <c r="B169" s="17" t="s">
        <v>98</v>
      </c>
      <c r="C169" s="22" t="s">
        <v>99</v>
      </c>
      <c r="D169" s="23">
        <v>1.0</v>
      </c>
      <c r="E169" s="24">
        <v>263.0</v>
      </c>
      <c r="F169" s="25">
        <v>94.0</v>
      </c>
      <c r="G169" s="25">
        <v>152.0</v>
      </c>
      <c r="H169" s="25">
        <v>8.0</v>
      </c>
      <c r="I169" s="25">
        <v>254.0</v>
      </c>
      <c r="J169" s="25">
        <v>9.0</v>
      </c>
      <c r="K169" s="25">
        <v>0.0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3"/>
      <c r="B170" s="26" t="s">
        <v>100</v>
      </c>
      <c r="C170" s="22" t="s">
        <v>99</v>
      </c>
      <c r="D170" s="23">
        <v>2.0</v>
      </c>
      <c r="E170" s="24">
        <v>477.0</v>
      </c>
      <c r="F170" s="25">
        <v>119.0</v>
      </c>
      <c r="G170" s="25">
        <v>326.0</v>
      </c>
      <c r="H170" s="25">
        <v>22.0</v>
      </c>
      <c r="I170" s="25">
        <v>467.0</v>
      </c>
      <c r="J170" s="25">
        <v>10.0</v>
      </c>
      <c r="K170" s="25">
        <v>0.0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3"/>
      <c r="B171" s="26"/>
      <c r="C171" s="22" t="s">
        <v>99</v>
      </c>
      <c r="D171" s="23">
        <v>3.0</v>
      </c>
      <c r="E171" s="24">
        <v>443.0</v>
      </c>
      <c r="F171" s="25">
        <v>91.0</v>
      </c>
      <c r="G171" s="25">
        <v>322.0</v>
      </c>
      <c r="H171" s="25">
        <v>30.0</v>
      </c>
      <c r="I171" s="25">
        <v>443.0</v>
      </c>
      <c r="J171" s="25">
        <v>0.0</v>
      </c>
      <c r="K171" s="25">
        <v>0.0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4"/>
      <c r="B172" s="28"/>
      <c r="C172" s="29" t="s">
        <v>22</v>
      </c>
      <c r="D172" s="30"/>
      <c r="E172" s="30">
        <f t="shared" ref="E172:K172" si="25">SUM(E169:E171)</f>
        <v>1183</v>
      </c>
      <c r="F172" s="30">
        <f t="shared" si="25"/>
        <v>304</v>
      </c>
      <c r="G172" s="30">
        <f t="shared" si="25"/>
        <v>800</v>
      </c>
      <c r="H172" s="30">
        <f t="shared" si="25"/>
        <v>60</v>
      </c>
      <c r="I172" s="30">
        <f t="shared" si="25"/>
        <v>1164</v>
      </c>
      <c r="J172" s="30">
        <f t="shared" si="25"/>
        <v>19</v>
      </c>
      <c r="K172" s="30">
        <f t="shared" si="25"/>
        <v>0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6">
        <v>30.0</v>
      </c>
      <c r="B173" s="17" t="s">
        <v>101</v>
      </c>
      <c r="C173" s="22" t="s">
        <v>102</v>
      </c>
      <c r="D173" s="23">
        <v>1.0</v>
      </c>
      <c r="E173" s="24">
        <v>248.0</v>
      </c>
      <c r="F173" s="25">
        <v>118.0</v>
      </c>
      <c r="G173" s="25">
        <v>91.0</v>
      </c>
      <c r="H173" s="25">
        <v>26.0</v>
      </c>
      <c r="I173" s="25">
        <v>235.0</v>
      </c>
      <c r="J173" s="25">
        <v>13.0</v>
      </c>
      <c r="K173" s="25">
        <v>0.0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3"/>
      <c r="B174" s="26" t="s">
        <v>103</v>
      </c>
      <c r="C174" s="22" t="s">
        <v>102</v>
      </c>
      <c r="D174" s="23">
        <v>2.0</v>
      </c>
      <c r="E174" s="24">
        <v>574.0</v>
      </c>
      <c r="F174" s="25">
        <v>272.0</v>
      </c>
      <c r="G174" s="25">
        <v>213.0</v>
      </c>
      <c r="H174" s="25">
        <v>83.0</v>
      </c>
      <c r="I174" s="25">
        <v>568.0</v>
      </c>
      <c r="J174" s="25">
        <v>6.0</v>
      </c>
      <c r="K174" s="25">
        <v>0.0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3"/>
      <c r="B175" s="26"/>
      <c r="C175" s="22" t="s">
        <v>102</v>
      </c>
      <c r="D175" s="23">
        <v>3.0</v>
      </c>
      <c r="E175" s="24">
        <v>562.0</v>
      </c>
      <c r="F175" s="25">
        <v>215.0</v>
      </c>
      <c r="G175" s="25">
        <v>273.0</v>
      </c>
      <c r="H175" s="25">
        <v>68.0</v>
      </c>
      <c r="I175" s="25">
        <v>556.0</v>
      </c>
      <c r="J175" s="25">
        <v>6.0</v>
      </c>
      <c r="K175" s="25">
        <v>0.0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3"/>
      <c r="B176" s="26"/>
      <c r="C176" s="22" t="s">
        <v>102</v>
      </c>
      <c r="D176" s="23">
        <v>4.0</v>
      </c>
      <c r="E176" s="24">
        <v>515.0</v>
      </c>
      <c r="F176" s="25">
        <v>180.0</v>
      </c>
      <c r="G176" s="25">
        <v>259.0</v>
      </c>
      <c r="H176" s="25">
        <v>76.0</v>
      </c>
      <c r="I176" s="25">
        <v>515.0</v>
      </c>
      <c r="J176" s="25">
        <v>0.0</v>
      </c>
      <c r="K176" s="25">
        <v>0.0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3"/>
      <c r="B177" s="26"/>
      <c r="C177" s="22" t="s">
        <v>102</v>
      </c>
      <c r="D177" s="23">
        <v>5.0</v>
      </c>
      <c r="E177" s="24">
        <v>496.0</v>
      </c>
      <c r="F177" s="25">
        <v>163.0</v>
      </c>
      <c r="G177" s="25">
        <v>254.0</v>
      </c>
      <c r="H177" s="25">
        <v>78.0</v>
      </c>
      <c r="I177" s="25">
        <v>495.0</v>
      </c>
      <c r="J177" s="25">
        <v>1.0</v>
      </c>
      <c r="K177" s="25">
        <v>0.0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3"/>
      <c r="B178" s="26"/>
      <c r="C178" s="22" t="s">
        <v>102</v>
      </c>
      <c r="D178" s="23">
        <v>6.0</v>
      </c>
      <c r="E178" s="24">
        <v>467.0</v>
      </c>
      <c r="F178" s="25">
        <v>129.0</v>
      </c>
      <c r="G178" s="25">
        <v>243.0</v>
      </c>
      <c r="H178" s="25">
        <v>83.0</v>
      </c>
      <c r="I178" s="25">
        <v>455.0</v>
      </c>
      <c r="J178" s="25">
        <v>12.0</v>
      </c>
      <c r="K178" s="25">
        <v>0.0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3"/>
      <c r="B179" s="26"/>
      <c r="C179" s="22" t="s">
        <v>102</v>
      </c>
      <c r="D179" s="23">
        <v>7.0</v>
      </c>
      <c r="E179" s="24">
        <v>519.0</v>
      </c>
      <c r="F179" s="25">
        <v>176.0</v>
      </c>
      <c r="G179" s="25">
        <v>226.0</v>
      </c>
      <c r="H179" s="25">
        <v>115.0</v>
      </c>
      <c r="I179" s="25">
        <v>517.0</v>
      </c>
      <c r="J179" s="25">
        <v>2.0</v>
      </c>
      <c r="K179" s="25">
        <v>0.0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4"/>
      <c r="B180" s="28"/>
      <c r="C180" s="29" t="s">
        <v>22</v>
      </c>
      <c r="D180" s="30"/>
      <c r="E180" s="30">
        <f>SUM(E173:E179)</f>
        <v>3381</v>
      </c>
      <c r="F180" s="30">
        <f t="shared" ref="F180:K180" si="26">SUM(F177:F179)</f>
        <v>468</v>
      </c>
      <c r="G180" s="30">
        <f t="shared" si="26"/>
        <v>723</v>
      </c>
      <c r="H180" s="30">
        <f t="shared" si="26"/>
        <v>276</v>
      </c>
      <c r="I180" s="30">
        <f t="shared" si="26"/>
        <v>1467</v>
      </c>
      <c r="J180" s="30">
        <f t="shared" si="26"/>
        <v>15</v>
      </c>
      <c r="K180" s="30">
        <f t="shared" si="26"/>
        <v>0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6">
        <v>31.0</v>
      </c>
      <c r="B181" s="17" t="s">
        <v>104</v>
      </c>
      <c r="C181" s="22" t="s">
        <v>105</v>
      </c>
      <c r="D181" s="23">
        <v>1.0</v>
      </c>
      <c r="E181" s="24">
        <v>281.0</v>
      </c>
      <c r="F181" s="25">
        <v>185.0</v>
      </c>
      <c r="G181" s="25">
        <v>43.0</v>
      </c>
      <c r="H181" s="25">
        <v>46.0</v>
      </c>
      <c r="I181" s="25">
        <v>274.0</v>
      </c>
      <c r="J181" s="25">
        <v>7.0</v>
      </c>
      <c r="K181" s="25">
        <v>0.0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3"/>
      <c r="B182" s="26" t="s">
        <v>106</v>
      </c>
      <c r="C182" s="22" t="s">
        <v>105</v>
      </c>
      <c r="D182" s="23">
        <v>2.0</v>
      </c>
      <c r="E182" s="24">
        <v>566.0</v>
      </c>
      <c r="F182" s="25">
        <v>315.0</v>
      </c>
      <c r="G182" s="25">
        <v>130.0</v>
      </c>
      <c r="H182" s="25">
        <v>115.0</v>
      </c>
      <c r="I182" s="25">
        <v>560.0</v>
      </c>
      <c r="J182" s="25">
        <v>5.0</v>
      </c>
      <c r="K182" s="25">
        <v>1.0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3"/>
      <c r="B183" s="26"/>
      <c r="C183" s="22" t="s">
        <v>105</v>
      </c>
      <c r="D183" s="23">
        <v>3.0</v>
      </c>
      <c r="E183" s="24">
        <v>488.0</v>
      </c>
      <c r="F183" s="25">
        <v>262.0</v>
      </c>
      <c r="G183" s="25">
        <v>115.0</v>
      </c>
      <c r="H183" s="25">
        <v>107.0</v>
      </c>
      <c r="I183" s="25">
        <v>484.0</v>
      </c>
      <c r="J183" s="25">
        <v>4.0</v>
      </c>
      <c r="K183" s="25">
        <v>0.0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3"/>
      <c r="B184" s="26"/>
      <c r="C184" s="22" t="s">
        <v>105</v>
      </c>
      <c r="D184" s="23">
        <v>4.0</v>
      </c>
      <c r="E184" s="24">
        <v>533.0</v>
      </c>
      <c r="F184" s="25">
        <v>254.0</v>
      </c>
      <c r="G184" s="25">
        <v>136.0</v>
      </c>
      <c r="H184" s="25">
        <v>140.0</v>
      </c>
      <c r="I184" s="25">
        <v>530.0</v>
      </c>
      <c r="J184" s="25">
        <v>3.0</v>
      </c>
      <c r="K184" s="25">
        <v>0.0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4"/>
      <c r="B185" s="28"/>
      <c r="C185" s="29" t="s">
        <v>22</v>
      </c>
      <c r="D185" s="30"/>
      <c r="E185" s="30">
        <f t="shared" ref="E185:K185" si="27">SUM(E181:E184)</f>
        <v>1868</v>
      </c>
      <c r="F185" s="30">
        <f t="shared" si="27"/>
        <v>1016</v>
      </c>
      <c r="G185" s="30">
        <f t="shared" si="27"/>
        <v>424</v>
      </c>
      <c r="H185" s="30">
        <f t="shared" si="27"/>
        <v>408</v>
      </c>
      <c r="I185" s="30">
        <f t="shared" si="27"/>
        <v>1848</v>
      </c>
      <c r="J185" s="30">
        <f t="shared" si="27"/>
        <v>19</v>
      </c>
      <c r="K185" s="30">
        <f t="shared" si="27"/>
        <v>1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6">
        <v>32.0</v>
      </c>
      <c r="B186" s="17" t="s">
        <v>107</v>
      </c>
      <c r="C186" s="22" t="s">
        <v>108</v>
      </c>
      <c r="D186" s="23">
        <v>1.0</v>
      </c>
      <c r="E186" s="24">
        <v>285.0</v>
      </c>
      <c r="F186" s="25">
        <v>157.0</v>
      </c>
      <c r="G186" s="25">
        <v>76.0</v>
      </c>
      <c r="H186" s="25">
        <v>43.0</v>
      </c>
      <c r="I186" s="25">
        <v>276.0</v>
      </c>
      <c r="J186" s="25">
        <v>9.0</v>
      </c>
      <c r="K186" s="25">
        <v>0.0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3"/>
      <c r="B187" s="26" t="s">
        <v>109</v>
      </c>
      <c r="C187" s="22" t="s">
        <v>108</v>
      </c>
      <c r="D187" s="23">
        <v>2.0</v>
      </c>
      <c r="E187" s="24">
        <v>484.0</v>
      </c>
      <c r="F187" s="25">
        <v>207.0</v>
      </c>
      <c r="G187" s="25">
        <v>170.0</v>
      </c>
      <c r="H187" s="25">
        <v>94.0</v>
      </c>
      <c r="I187" s="25">
        <v>471.0</v>
      </c>
      <c r="J187" s="25">
        <v>13.0</v>
      </c>
      <c r="K187" s="25">
        <v>0.0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3"/>
      <c r="B188" s="26"/>
      <c r="C188" s="22" t="s">
        <v>108</v>
      </c>
      <c r="D188" s="23">
        <v>3.0</v>
      </c>
      <c r="E188" s="24">
        <v>416.0</v>
      </c>
      <c r="F188" s="25">
        <v>168.0</v>
      </c>
      <c r="G188" s="25">
        <v>170.0</v>
      </c>
      <c r="H188" s="25">
        <v>76.0</v>
      </c>
      <c r="I188" s="25">
        <v>414.0</v>
      </c>
      <c r="J188" s="25">
        <v>2.0</v>
      </c>
      <c r="K188" s="25">
        <v>0.0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3"/>
      <c r="B189" s="26"/>
      <c r="C189" s="22" t="s">
        <v>108</v>
      </c>
      <c r="D189" s="23">
        <v>4.0</v>
      </c>
      <c r="E189" s="24">
        <v>428.0</v>
      </c>
      <c r="F189" s="25">
        <v>158.0</v>
      </c>
      <c r="G189" s="25">
        <v>174.0</v>
      </c>
      <c r="H189" s="25">
        <v>93.0</v>
      </c>
      <c r="I189" s="25">
        <v>425.0</v>
      </c>
      <c r="J189" s="25">
        <v>3.0</v>
      </c>
      <c r="K189" s="25">
        <v>0.0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3"/>
      <c r="B190" s="26"/>
      <c r="C190" s="29" t="s">
        <v>22</v>
      </c>
      <c r="D190" s="30"/>
      <c r="E190" s="30">
        <f t="shared" ref="E190:K190" si="28">SUM(E186:E189)</f>
        <v>1613</v>
      </c>
      <c r="F190" s="30">
        <f t="shared" si="28"/>
        <v>690</v>
      </c>
      <c r="G190" s="30">
        <f t="shared" si="28"/>
        <v>590</v>
      </c>
      <c r="H190" s="30">
        <f t="shared" si="28"/>
        <v>306</v>
      </c>
      <c r="I190" s="30">
        <f t="shared" si="28"/>
        <v>1586</v>
      </c>
      <c r="J190" s="30">
        <f t="shared" si="28"/>
        <v>27</v>
      </c>
      <c r="K190" s="30">
        <f t="shared" si="28"/>
        <v>0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6">
        <v>33.0</v>
      </c>
      <c r="B191" s="17" t="s">
        <v>110</v>
      </c>
      <c r="C191" s="22" t="s">
        <v>111</v>
      </c>
      <c r="D191" s="23">
        <v>1.0</v>
      </c>
      <c r="E191" s="24">
        <v>293.0</v>
      </c>
      <c r="F191" s="25">
        <v>132.0</v>
      </c>
      <c r="G191" s="25">
        <v>120.0</v>
      </c>
      <c r="H191" s="25">
        <v>36.0</v>
      </c>
      <c r="I191" s="25">
        <v>288.0</v>
      </c>
      <c r="J191" s="25">
        <v>5.0</v>
      </c>
      <c r="K191" s="25">
        <v>0.0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3"/>
      <c r="B192" s="26" t="s">
        <v>112</v>
      </c>
      <c r="C192" s="22" t="s">
        <v>111</v>
      </c>
      <c r="D192" s="23">
        <v>2.0</v>
      </c>
      <c r="E192" s="24">
        <v>564.0</v>
      </c>
      <c r="F192" s="25">
        <v>242.0</v>
      </c>
      <c r="G192" s="25">
        <v>204.0</v>
      </c>
      <c r="H192" s="25">
        <v>99.0</v>
      </c>
      <c r="I192" s="25">
        <v>545.0</v>
      </c>
      <c r="J192" s="25">
        <v>19.0</v>
      </c>
      <c r="K192" s="25">
        <v>0.0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3"/>
      <c r="B193" s="26"/>
      <c r="C193" s="22" t="s">
        <v>111</v>
      </c>
      <c r="D193" s="23">
        <v>3.0</v>
      </c>
      <c r="E193" s="24">
        <v>538.0</v>
      </c>
      <c r="F193" s="25">
        <v>191.0</v>
      </c>
      <c r="G193" s="25">
        <v>248.0</v>
      </c>
      <c r="H193" s="25">
        <v>94.0</v>
      </c>
      <c r="I193" s="25">
        <v>533.0</v>
      </c>
      <c r="J193" s="25">
        <v>5.0</v>
      </c>
      <c r="K193" s="25">
        <v>0.0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3"/>
      <c r="B194" s="26"/>
      <c r="C194" s="22" t="s">
        <v>111</v>
      </c>
      <c r="D194" s="23">
        <v>4.0</v>
      </c>
      <c r="E194" s="24">
        <v>491.0</v>
      </c>
      <c r="F194" s="25">
        <v>121.0</v>
      </c>
      <c r="G194" s="25">
        <v>286.0</v>
      </c>
      <c r="H194" s="25">
        <v>81.0</v>
      </c>
      <c r="I194" s="25">
        <v>488.0</v>
      </c>
      <c r="J194" s="25">
        <v>3.0</v>
      </c>
      <c r="K194" s="25">
        <v>0.0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3"/>
      <c r="B195" s="26"/>
      <c r="C195" s="22" t="s">
        <v>111</v>
      </c>
      <c r="D195" s="23">
        <v>5.0</v>
      </c>
      <c r="E195" s="24">
        <v>452.0</v>
      </c>
      <c r="F195" s="25">
        <v>118.0</v>
      </c>
      <c r="G195" s="25">
        <v>244.0</v>
      </c>
      <c r="H195" s="25">
        <v>86.0</v>
      </c>
      <c r="I195" s="25">
        <v>448.0</v>
      </c>
      <c r="J195" s="25">
        <v>3.0</v>
      </c>
      <c r="K195" s="25">
        <v>1.0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3"/>
      <c r="B196" s="26"/>
      <c r="C196" s="22" t="s">
        <v>111</v>
      </c>
      <c r="D196" s="23">
        <v>6.0</v>
      </c>
      <c r="E196" s="24">
        <v>452.0</v>
      </c>
      <c r="F196" s="25">
        <v>137.0</v>
      </c>
      <c r="G196" s="25">
        <v>222.0</v>
      </c>
      <c r="H196" s="25">
        <v>90.0</v>
      </c>
      <c r="I196" s="25">
        <v>449.0</v>
      </c>
      <c r="J196" s="25">
        <v>3.0</v>
      </c>
      <c r="K196" s="25">
        <v>0.0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3"/>
      <c r="B197" s="26"/>
      <c r="C197" s="18" t="s">
        <v>111</v>
      </c>
      <c r="D197" s="19">
        <v>7.0</v>
      </c>
      <c r="E197" s="20">
        <v>490.0</v>
      </c>
      <c r="F197" s="16">
        <v>135.0</v>
      </c>
      <c r="G197" s="16">
        <v>253.0</v>
      </c>
      <c r="H197" s="16">
        <v>99.0</v>
      </c>
      <c r="I197" s="16">
        <v>487.0</v>
      </c>
      <c r="J197" s="16">
        <v>3.0</v>
      </c>
      <c r="K197" s="16">
        <v>0.0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3"/>
      <c r="B198" s="26"/>
      <c r="C198" s="29" t="s">
        <v>22</v>
      </c>
      <c r="D198" s="30"/>
      <c r="E198" s="30">
        <f t="shared" ref="E198:K198" si="29">SUM(E191:E197)</f>
        <v>3280</v>
      </c>
      <c r="F198" s="30">
        <f t="shared" si="29"/>
        <v>1076</v>
      </c>
      <c r="G198" s="30">
        <f t="shared" si="29"/>
        <v>1577</v>
      </c>
      <c r="H198" s="30">
        <f t="shared" si="29"/>
        <v>585</v>
      </c>
      <c r="I198" s="30">
        <f t="shared" si="29"/>
        <v>3238</v>
      </c>
      <c r="J198" s="30">
        <f t="shared" si="29"/>
        <v>41</v>
      </c>
      <c r="K198" s="30">
        <f t="shared" si="29"/>
        <v>1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6">
        <v>34.0</v>
      </c>
      <c r="B199" s="17" t="s">
        <v>113</v>
      </c>
      <c r="C199" s="22" t="s">
        <v>114</v>
      </c>
      <c r="D199" s="23">
        <v>1.0</v>
      </c>
      <c r="E199" s="24">
        <v>312.0</v>
      </c>
      <c r="F199" s="25">
        <v>68.0</v>
      </c>
      <c r="G199" s="25">
        <v>219.0</v>
      </c>
      <c r="H199" s="25">
        <v>21.0</v>
      </c>
      <c r="I199" s="25">
        <v>308.0</v>
      </c>
      <c r="J199" s="25">
        <v>4.0</v>
      </c>
      <c r="K199" s="25">
        <v>0.0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3"/>
      <c r="B200" s="26" t="s">
        <v>115</v>
      </c>
      <c r="C200" s="22" t="s">
        <v>114</v>
      </c>
      <c r="D200" s="23">
        <v>2.0</v>
      </c>
      <c r="E200" s="24">
        <v>516.0</v>
      </c>
      <c r="F200" s="25">
        <v>66.0</v>
      </c>
      <c r="G200" s="25">
        <v>418.0</v>
      </c>
      <c r="H200" s="25">
        <v>31.0</v>
      </c>
      <c r="I200" s="25">
        <v>515.0</v>
      </c>
      <c r="J200" s="25">
        <v>1.0</v>
      </c>
      <c r="K200" s="25">
        <v>0.0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3"/>
      <c r="B201" s="26"/>
      <c r="C201" s="22" t="s">
        <v>114</v>
      </c>
      <c r="D201" s="23">
        <v>3.0</v>
      </c>
      <c r="E201" s="24">
        <v>495.0</v>
      </c>
      <c r="F201" s="25">
        <v>58.0</v>
      </c>
      <c r="G201" s="25">
        <v>403.0</v>
      </c>
      <c r="H201" s="25">
        <v>34.0</v>
      </c>
      <c r="I201" s="25">
        <v>495.0</v>
      </c>
      <c r="J201" s="25">
        <v>0.0</v>
      </c>
      <c r="K201" s="25">
        <v>0.0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4"/>
      <c r="B202" s="28"/>
      <c r="C202" s="29" t="s">
        <v>22</v>
      </c>
      <c r="D202" s="30"/>
      <c r="E202" s="30">
        <f t="shared" ref="E202:K202" si="30">SUM(E199:E201)</f>
        <v>1323</v>
      </c>
      <c r="F202" s="30">
        <f t="shared" si="30"/>
        <v>192</v>
      </c>
      <c r="G202" s="30">
        <f t="shared" si="30"/>
        <v>1040</v>
      </c>
      <c r="H202" s="30">
        <f t="shared" si="30"/>
        <v>86</v>
      </c>
      <c r="I202" s="30">
        <f t="shared" si="30"/>
        <v>1318</v>
      </c>
      <c r="J202" s="30">
        <f t="shared" si="30"/>
        <v>5</v>
      </c>
      <c r="K202" s="30">
        <f t="shared" si="30"/>
        <v>0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6">
        <v>35.0</v>
      </c>
      <c r="B203" s="17" t="s">
        <v>116</v>
      </c>
      <c r="C203" s="22" t="s">
        <v>117</v>
      </c>
      <c r="D203" s="23">
        <v>1.0</v>
      </c>
      <c r="E203" s="24">
        <v>280.0</v>
      </c>
      <c r="F203" s="25">
        <v>168.0</v>
      </c>
      <c r="G203" s="25">
        <v>65.0</v>
      </c>
      <c r="H203" s="25">
        <v>39.0</v>
      </c>
      <c r="I203" s="25">
        <v>272.0</v>
      </c>
      <c r="J203" s="25">
        <v>8.0</v>
      </c>
      <c r="K203" s="25">
        <v>0.0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3"/>
      <c r="B204" s="26" t="s">
        <v>118</v>
      </c>
      <c r="C204" s="22" t="s">
        <v>117</v>
      </c>
      <c r="D204" s="23">
        <v>2.0</v>
      </c>
      <c r="E204" s="24">
        <v>588.0</v>
      </c>
      <c r="F204" s="25">
        <v>302.0</v>
      </c>
      <c r="G204" s="25">
        <v>158.0</v>
      </c>
      <c r="H204" s="25">
        <v>124.0</v>
      </c>
      <c r="I204" s="25">
        <v>584.0</v>
      </c>
      <c r="J204" s="25">
        <v>4.0</v>
      </c>
      <c r="K204" s="25">
        <v>0.0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3"/>
      <c r="B205" s="26"/>
      <c r="C205" s="22" t="s">
        <v>117</v>
      </c>
      <c r="D205" s="23">
        <v>3.0</v>
      </c>
      <c r="E205" s="24">
        <v>573.0</v>
      </c>
      <c r="F205" s="25">
        <v>239.0</v>
      </c>
      <c r="G205" s="25">
        <v>205.0</v>
      </c>
      <c r="H205" s="25">
        <v>122.0</v>
      </c>
      <c r="I205" s="25">
        <v>566.0</v>
      </c>
      <c r="J205" s="25">
        <v>6.0</v>
      </c>
      <c r="K205" s="25">
        <v>1.0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3"/>
      <c r="B206" s="26"/>
      <c r="C206" s="22" t="s">
        <v>117</v>
      </c>
      <c r="D206" s="23">
        <v>4.0</v>
      </c>
      <c r="E206" s="24">
        <v>544.0</v>
      </c>
      <c r="F206" s="25">
        <v>209.0</v>
      </c>
      <c r="G206" s="25">
        <v>210.0</v>
      </c>
      <c r="H206" s="25">
        <v>124.0</v>
      </c>
      <c r="I206" s="25">
        <v>543.0</v>
      </c>
      <c r="J206" s="25">
        <v>1.0</v>
      </c>
      <c r="K206" s="25">
        <v>0.0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3"/>
      <c r="B207" s="26"/>
      <c r="C207" s="22" t="s">
        <v>117</v>
      </c>
      <c r="D207" s="23">
        <v>5.0</v>
      </c>
      <c r="E207" s="24">
        <v>509.0</v>
      </c>
      <c r="F207" s="25">
        <v>196.0</v>
      </c>
      <c r="G207" s="25">
        <v>209.0</v>
      </c>
      <c r="H207" s="25">
        <v>100.0</v>
      </c>
      <c r="I207" s="25">
        <v>505.0</v>
      </c>
      <c r="J207" s="25">
        <v>4.0</v>
      </c>
      <c r="K207" s="25">
        <v>0.0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3"/>
      <c r="B208" s="26"/>
      <c r="C208" s="22" t="s">
        <v>117</v>
      </c>
      <c r="D208" s="23">
        <v>6.0</v>
      </c>
      <c r="E208" s="24">
        <v>500.0</v>
      </c>
      <c r="F208" s="25">
        <v>190.0</v>
      </c>
      <c r="G208" s="25">
        <v>198.0</v>
      </c>
      <c r="H208" s="25">
        <v>110.0</v>
      </c>
      <c r="I208" s="25">
        <v>498.0</v>
      </c>
      <c r="J208" s="25">
        <v>2.0</v>
      </c>
      <c r="K208" s="25">
        <v>0.0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4"/>
      <c r="B209" s="28"/>
      <c r="C209" s="29" t="s">
        <v>22</v>
      </c>
      <c r="D209" s="30"/>
      <c r="E209" s="30">
        <f t="shared" ref="E209:K209" si="31">SUM(E203:E208)</f>
        <v>2994</v>
      </c>
      <c r="F209" s="30">
        <f t="shared" si="31"/>
        <v>1304</v>
      </c>
      <c r="G209" s="30">
        <f t="shared" si="31"/>
        <v>1045</v>
      </c>
      <c r="H209" s="30">
        <f t="shared" si="31"/>
        <v>619</v>
      </c>
      <c r="I209" s="30">
        <f t="shared" si="31"/>
        <v>2968</v>
      </c>
      <c r="J209" s="30">
        <f t="shared" si="31"/>
        <v>25</v>
      </c>
      <c r="K209" s="30">
        <f t="shared" si="31"/>
        <v>1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4">
        <v>36.0</v>
      </c>
      <c r="B210" s="26" t="s">
        <v>119</v>
      </c>
      <c r="C210" s="39" t="s">
        <v>120</v>
      </c>
      <c r="D210" s="36">
        <v>1.0</v>
      </c>
      <c r="E210" s="37">
        <v>309.0</v>
      </c>
      <c r="F210" s="38">
        <v>138.0</v>
      </c>
      <c r="G210" s="38">
        <v>115.0</v>
      </c>
      <c r="H210" s="38">
        <v>55.0</v>
      </c>
      <c r="I210" s="38">
        <v>308.0</v>
      </c>
      <c r="J210" s="38">
        <v>1.0</v>
      </c>
      <c r="K210" s="38">
        <v>0.0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3"/>
      <c r="B211" s="26" t="s">
        <v>121</v>
      </c>
      <c r="C211" s="22" t="s">
        <v>120</v>
      </c>
      <c r="D211" s="23">
        <v>2.0</v>
      </c>
      <c r="E211" s="24">
        <v>377.0</v>
      </c>
      <c r="F211" s="25">
        <v>128.0</v>
      </c>
      <c r="G211" s="25">
        <v>187.0</v>
      </c>
      <c r="H211" s="25">
        <v>58.0</v>
      </c>
      <c r="I211" s="25">
        <v>373.0</v>
      </c>
      <c r="J211" s="25">
        <v>4.0</v>
      </c>
      <c r="K211" s="25">
        <v>0.0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3"/>
      <c r="B212" s="26"/>
      <c r="C212" s="18" t="s">
        <v>120</v>
      </c>
      <c r="D212" s="19">
        <v>3.0</v>
      </c>
      <c r="E212" s="20">
        <v>360.0</v>
      </c>
      <c r="F212" s="16">
        <v>121.0</v>
      </c>
      <c r="G212" s="16">
        <v>182.0</v>
      </c>
      <c r="H212" s="16">
        <v>53.0</v>
      </c>
      <c r="I212" s="16">
        <v>356.0</v>
      </c>
      <c r="J212" s="16">
        <v>4.0</v>
      </c>
      <c r="K212" s="16">
        <v>0.0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3"/>
      <c r="B213" s="26"/>
      <c r="C213" s="29" t="s">
        <v>22</v>
      </c>
      <c r="D213" s="30"/>
      <c r="E213" s="30">
        <f t="shared" ref="E213:K213" si="32">SUM(E210:E212)</f>
        <v>1046</v>
      </c>
      <c r="F213" s="30">
        <f t="shared" si="32"/>
        <v>387</v>
      </c>
      <c r="G213" s="30">
        <f t="shared" si="32"/>
        <v>484</v>
      </c>
      <c r="H213" s="30">
        <f t="shared" si="32"/>
        <v>166</v>
      </c>
      <c r="I213" s="30">
        <f t="shared" si="32"/>
        <v>1037</v>
      </c>
      <c r="J213" s="30">
        <f t="shared" si="32"/>
        <v>9</v>
      </c>
      <c r="K213" s="30">
        <f t="shared" si="32"/>
        <v>0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6">
        <v>37.0</v>
      </c>
      <c r="B214" s="17" t="s">
        <v>122</v>
      </c>
      <c r="C214" s="22" t="s">
        <v>123</v>
      </c>
      <c r="D214" s="23">
        <v>1.0</v>
      </c>
      <c r="E214" s="24">
        <v>283.0</v>
      </c>
      <c r="F214" s="25">
        <v>134.0</v>
      </c>
      <c r="G214" s="25">
        <v>86.0</v>
      </c>
      <c r="H214" s="25">
        <v>56.0</v>
      </c>
      <c r="I214" s="25">
        <v>276.0</v>
      </c>
      <c r="J214" s="25">
        <v>7.0</v>
      </c>
      <c r="K214" s="25">
        <v>0.0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3"/>
      <c r="B215" s="26" t="s">
        <v>124</v>
      </c>
      <c r="C215" s="22" t="s">
        <v>123</v>
      </c>
      <c r="D215" s="23">
        <v>2.0</v>
      </c>
      <c r="E215" s="24">
        <v>614.0</v>
      </c>
      <c r="F215" s="25">
        <v>265.0</v>
      </c>
      <c r="G215" s="25">
        <v>194.0</v>
      </c>
      <c r="H215" s="25">
        <v>148.0</v>
      </c>
      <c r="I215" s="25">
        <v>607.0</v>
      </c>
      <c r="J215" s="25">
        <v>7.0</v>
      </c>
      <c r="K215" s="25">
        <v>0.0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3"/>
      <c r="B216" s="26"/>
      <c r="C216" s="22" t="s">
        <v>123</v>
      </c>
      <c r="D216" s="23">
        <v>3.0</v>
      </c>
      <c r="E216" s="24">
        <v>597.0</v>
      </c>
      <c r="F216" s="25">
        <v>234.0</v>
      </c>
      <c r="G216" s="25">
        <v>241.0</v>
      </c>
      <c r="H216" s="25">
        <v>122.0</v>
      </c>
      <c r="I216" s="25">
        <v>597.0</v>
      </c>
      <c r="J216" s="25">
        <v>0.0</v>
      </c>
      <c r="K216" s="25">
        <v>0.0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3"/>
      <c r="B217" s="26"/>
      <c r="C217" s="22" t="s">
        <v>123</v>
      </c>
      <c r="D217" s="23">
        <v>4.0</v>
      </c>
      <c r="E217" s="24">
        <v>599.0</v>
      </c>
      <c r="F217" s="25">
        <v>200.0</v>
      </c>
      <c r="G217" s="25">
        <v>285.0</v>
      </c>
      <c r="H217" s="25">
        <v>111.0</v>
      </c>
      <c r="I217" s="25">
        <v>596.0</v>
      </c>
      <c r="J217" s="25">
        <v>3.0</v>
      </c>
      <c r="K217" s="25">
        <v>0.0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3"/>
      <c r="B218" s="26"/>
      <c r="C218" s="22" t="s">
        <v>123</v>
      </c>
      <c r="D218" s="23">
        <v>5.0</v>
      </c>
      <c r="E218" s="24">
        <v>554.0</v>
      </c>
      <c r="F218" s="25">
        <v>174.0</v>
      </c>
      <c r="G218" s="25">
        <v>282.0</v>
      </c>
      <c r="H218" s="25">
        <v>98.0</v>
      </c>
      <c r="I218" s="25">
        <v>554.0</v>
      </c>
      <c r="J218" s="25">
        <v>0.0</v>
      </c>
      <c r="K218" s="25">
        <v>0.0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3"/>
      <c r="B219" s="26"/>
      <c r="C219" s="22" t="s">
        <v>123</v>
      </c>
      <c r="D219" s="23">
        <v>6.0</v>
      </c>
      <c r="E219" s="24">
        <v>520.0</v>
      </c>
      <c r="F219" s="25">
        <v>155.0</v>
      </c>
      <c r="G219" s="25">
        <v>282.0</v>
      </c>
      <c r="H219" s="25">
        <v>81.0</v>
      </c>
      <c r="I219" s="25">
        <v>518.0</v>
      </c>
      <c r="J219" s="25">
        <v>2.0</v>
      </c>
      <c r="K219" s="25">
        <v>0.0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3"/>
      <c r="B220" s="26"/>
      <c r="C220" s="22" t="s">
        <v>123</v>
      </c>
      <c r="D220" s="23">
        <v>7.0</v>
      </c>
      <c r="E220" s="24">
        <v>494.0</v>
      </c>
      <c r="F220" s="25">
        <v>147.0</v>
      </c>
      <c r="G220" s="25">
        <v>238.0</v>
      </c>
      <c r="H220" s="25">
        <v>108.0</v>
      </c>
      <c r="I220" s="25">
        <v>493.0</v>
      </c>
      <c r="J220" s="25">
        <v>1.0</v>
      </c>
      <c r="K220" s="25">
        <v>0.0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3"/>
      <c r="B221" s="26"/>
      <c r="C221" s="22" t="s">
        <v>123</v>
      </c>
      <c r="D221" s="23">
        <v>8.0</v>
      </c>
      <c r="E221" s="24">
        <v>520.0</v>
      </c>
      <c r="F221" s="25">
        <v>156.0</v>
      </c>
      <c r="G221" s="25">
        <v>250.0</v>
      </c>
      <c r="H221" s="25">
        <v>111.0</v>
      </c>
      <c r="I221" s="25">
        <v>517.0</v>
      </c>
      <c r="J221" s="25">
        <v>3.0</v>
      </c>
      <c r="K221" s="25">
        <v>0.0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3"/>
      <c r="B222" s="26"/>
      <c r="C222" s="22" t="s">
        <v>123</v>
      </c>
      <c r="D222" s="23">
        <v>9.0</v>
      </c>
      <c r="E222" s="24">
        <v>553.0</v>
      </c>
      <c r="F222" s="25">
        <v>164.0</v>
      </c>
      <c r="G222" s="25">
        <v>273.0</v>
      </c>
      <c r="H222" s="25">
        <v>113.0</v>
      </c>
      <c r="I222" s="25">
        <v>550.0</v>
      </c>
      <c r="J222" s="25">
        <v>3.0</v>
      </c>
      <c r="K222" s="25">
        <v>0.0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4"/>
      <c r="B223" s="28"/>
      <c r="C223" s="29" t="s">
        <v>22</v>
      </c>
      <c r="D223" s="30"/>
      <c r="E223" s="30">
        <f t="shared" ref="E223:K223" si="33">SUM(E214:E222)</f>
        <v>4734</v>
      </c>
      <c r="F223" s="30">
        <f t="shared" si="33"/>
        <v>1629</v>
      </c>
      <c r="G223" s="30">
        <f t="shared" si="33"/>
        <v>2131</v>
      </c>
      <c r="H223" s="30">
        <f t="shared" si="33"/>
        <v>948</v>
      </c>
      <c r="I223" s="30">
        <f t="shared" si="33"/>
        <v>4708</v>
      </c>
      <c r="J223" s="30">
        <f t="shared" si="33"/>
        <v>26</v>
      </c>
      <c r="K223" s="30">
        <f t="shared" si="33"/>
        <v>0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6">
        <v>38.0</v>
      </c>
      <c r="B224" s="17" t="s">
        <v>125</v>
      </c>
      <c r="C224" s="22" t="s">
        <v>126</v>
      </c>
      <c r="D224" s="23">
        <v>1.0</v>
      </c>
      <c r="E224" s="24">
        <v>250.0</v>
      </c>
      <c r="F224" s="25">
        <v>115.0</v>
      </c>
      <c r="G224" s="25">
        <v>111.0</v>
      </c>
      <c r="H224" s="25">
        <v>18.0</v>
      </c>
      <c r="I224" s="25">
        <v>244.0</v>
      </c>
      <c r="J224" s="25">
        <v>6.0</v>
      </c>
      <c r="K224" s="25">
        <v>0.0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3"/>
      <c r="B225" s="26" t="s">
        <v>127</v>
      </c>
      <c r="C225" s="22" t="s">
        <v>126</v>
      </c>
      <c r="D225" s="23">
        <v>2.0</v>
      </c>
      <c r="E225" s="24">
        <v>568.0</v>
      </c>
      <c r="F225" s="25">
        <v>254.0</v>
      </c>
      <c r="G225" s="25">
        <v>247.0</v>
      </c>
      <c r="H225" s="25">
        <v>60.0</v>
      </c>
      <c r="I225" s="25">
        <v>561.0</v>
      </c>
      <c r="J225" s="25">
        <v>7.0</v>
      </c>
      <c r="K225" s="25">
        <v>0.0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3"/>
      <c r="B226" s="26"/>
      <c r="C226" s="22" t="s">
        <v>126</v>
      </c>
      <c r="D226" s="23">
        <v>3.0</v>
      </c>
      <c r="E226" s="24">
        <v>569.0</v>
      </c>
      <c r="F226" s="25">
        <v>178.0</v>
      </c>
      <c r="G226" s="25">
        <v>314.0</v>
      </c>
      <c r="H226" s="25">
        <v>74.0</v>
      </c>
      <c r="I226" s="25">
        <v>566.0</v>
      </c>
      <c r="J226" s="25">
        <v>2.0</v>
      </c>
      <c r="K226" s="25">
        <v>1.0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3"/>
      <c r="B227" s="26"/>
      <c r="C227" s="22" t="s">
        <v>126</v>
      </c>
      <c r="D227" s="23">
        <v>4.0</v>
      </c>
      <c r="E227" s="24">
        <v>516.0</v>
      </c>
      <c r="F227" s="25">
        <v>131.0</v>
      </c>
      <c r="G227" s="25">
        <v>312.0</v>
      </c>
      <c r="H227" s="25">
        <v>73.0</v>
      </c>
      <c r="I227" s="25">
        <v>516.0</v>
      </c>
      <c r="J227" s="25">
        <v>0.0</v>
      </c>
      <c r="K227" s="25">
        <v>0.0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3"/>
      <c r="B228" s="26"/>
      <c r="C228" s="22" t="s">
        <v>126</v>
      </c>
      <c r="D228" s="23">
        <v>5.0</v>
      </c>
      <c r="E228" s="24">
        <v>478.0</v>
      </c>
      <c r="F228" s="25">
        <v>133.0</v>
      </c>
      <c r="G228" s="25">
        <v>274.0</v>
      </c>
      <c r="H228" s="25">
        <v>67.0</v>
      </c>
      <c r="I228" s="25">
        <v>474.0</v>
      </c>
      <c r="J228" s="25">
        <v>4.0</v>
      </c>
      <c r="K228" s="25">
        <v>0.0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3"/>
      <c r="B229" s="26"/>
      <c r="C229" s="22" t="s">
        <v>126</v>
      </c>
      <c r="D229" s="23">
        <v>6.0</v>
      </c>
      <c r="E229" s="24">
        <v>543.0</v>
      </c>
      <c r="F229" s="25">
        <v>126.0</v>
      </c>
      <c r="G229" s="25">
        <v>304.0</v>
      </c>
      <c r="H229" s="25">
        <v>112.0</v>
      </c>
      <c r="I229" s="25">
        <v>542.0</v>
      </c>
      <c r="J229" s="25">
        <v>1.0</v>
      </c>
      <c r="K229" s="25">
        <v>0.0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4"/>
      <c r="B230" s="28"/>
      <c r="C230" s="29" t="s">
        <v>22</v>
      </c>
      <c r="D230" s="30"/>
      <c r="E230" s="30">
        <f t="shared" ref="E230:K230" si="34">SUM(E224:E229)</f>
        <v>2924</v>
      </c>
      <c r="F230" s="30">
        <f t="shared" si="34"/>
        <v>937</v>
      </c>
      <c r="G230" s="30">
        <f t="shared" si="34"/>
        <v>1562</v>
      </c>
      <c r="H230" s="30">
        <f t="shared" si="34"/>
        <v>404</v>
      </c>
      <c r="I230" s="30">
        <f t="shared" si="34"/>
        <v>2903</v>
      </c>
      <c r="J230" s="30">
        <f t="shared" si="34"/>
        <v>20</v>
      </c>
      <c r="K230" s="30">
        <f t="shared" si="34"/>
        <v>1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4">
        <v>39.0</v>
      </c>
      <c r="B231" s="26" t="s">
        <v>128</v>
      </c>
      <c r="C231" s="39" t="s">
        <v>129</v>
      </c>
      <c r="D231" s="36">
        <v>1.0</v>
      </c>
      <c r="E231" s="37">
        <v>262.0</v>
      </c>
      <c r="F231" s="38">
        <v>81.0</v>
      </c>
      <c r="G231" s="38">
        <v>161.0</v>
      </c>
      <c r="H231" s="38">
        <v>18.0</v>
      </c>
      <c r="I231" s="38">
        <v>260.0</v>
      </c>
      <c r="J231" s="38">
        <v>2.0</v>
      </c>
      <c r="K231" s="38">
        <v>0.0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3"/>
      <c r="B232" s="26" t="s">
        <v>130</v>
      </c>
      <c r="C232" s="22" t="s">
        <v>129</v>
      </c>
      <c r="D232" s="23">
        <v>2.0</v>
      </c>
      <c r="E232" s="24">
        <v>522.0</v>
      </c>
      <c r="F232" s="25">
        <v>146.0</v>
      </c>
      <c r="G232" s="25">
        <v>317.0</v>
      </c>
      <c r="H232" s="25">
        <v>58.0</v>
      </c>
      <c r="I232" s="25">
        <v>521.0</v>
      </c>
      <c r="J232" s="25">
        <v>1.0</v>
      </c>
      <c r="K232" s="25">
        <v>0.0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0" customHeight="1">
      <c r="A233" s="40"/>
      <c r="B233" s="41"/>
      <c r="C233" s="29" t="s">
        <v>22</v>
      </c>
      <c r="D233" s="30"/>
      <c r="E233" s="30">
        <f t="shared" ref="E233:K233" si="35">SUM(E231:E232)</f>
        <v>784</v>
      </c>
      <c r="F233" s="30">
        <f t="shared" si="35"/>
        <v>227</v>
      </c>
      <c r="G233" s="30">
        <f t="shared" si="35"/>
        <v>478</v>
      </c>
      <c r="H233" s="30">
        <f t="shared" si="35"/>
        <v>76</v>
      </c>
      <c r="I233" s="30">
        <f t="shared" si="35"/>
        <v>781</v>
      </c>
      <c r="J233" s="30">
        <f t="shared" si="35"/>
        <v>3</v>
      </c>
      <c r="K233" s="30">
        <f t="shared" si="35"/>
        <v>0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0" customHeight="1">
      <c r="A234" s="42" t="s">
        <v>131</v>
      </c>
      <c r="B234" s="9"/>
      <c r="C234" s="10"/>
      <c r="D234" s="43">
        <v>187.0</v>
      </c>
      <c r="E234" s="44">
        <f>E20+E24+E26+E37+E50+E59+E64+E68+E77+E86+E95+E103+E108+E115+E121+E126+E130+E134+E141+E145+E148+E153+E159+E162+E166+E168+E172+E180+E185+E190+E198+E202+E209+E213+E223+E230+E233</f>
        <v>86767</v>
      </c>
      <c r="F234" s="44">
        <v>33341.0</v>
      </c>
      <c r="G234" s="44">
        <v>38661.0</v>
      </c>
      <c r="H234" s="44">
        <v>14948.0</v>
      </c>
      <c r="I234" s="44">
        <v>86950.0</v>
      </c>
      <c r="J234" s="45">
        <v>960.0</v>
      </c>
      <c r="K234" s="44">
        <v>1010.0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6" t="s">
        <v>132</v>
      </c>
      <c r="B235" s="2"/>
      <c r="C235" s="2"/>
      <c r="D235" s="47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7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7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7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7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7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7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7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7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7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7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7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7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7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7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7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7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7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7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7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7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7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7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7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7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7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7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7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7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7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7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7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7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7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7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7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7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7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7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7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7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7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7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7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7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7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7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7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7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7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7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7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7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7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7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7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7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7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7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7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7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7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7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7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7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7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7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7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7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7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7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7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7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7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7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7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7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7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7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7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7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7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7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7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7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7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7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7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7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7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7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7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7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7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7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7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7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7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7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7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7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7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7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7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7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7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7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7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7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7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7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7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7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7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7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7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7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7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7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7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7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7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7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7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7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7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7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7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7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7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7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7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7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7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7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7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7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7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7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7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7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7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7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7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7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7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7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7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7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7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7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7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7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7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7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7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7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7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7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7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7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7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7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7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7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7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7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7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7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7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7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7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7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7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7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7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7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7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7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7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7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7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7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7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7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7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7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7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7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7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7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7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7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7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7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7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7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7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7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7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7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7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7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7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7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7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7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7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7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7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7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7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7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7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7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7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7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7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7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7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7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7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7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7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7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7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7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7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7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7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7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7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7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7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7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7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7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7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7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7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7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7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7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7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7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7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7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7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7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7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7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7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7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7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7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7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7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7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7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7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7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7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7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7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7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7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7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7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7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7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7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7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7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7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7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7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7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7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7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7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7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7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7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7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7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7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7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7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7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7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7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7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7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7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7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7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7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7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7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7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7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7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7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7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7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7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7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7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7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7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7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7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7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7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7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7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7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7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7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7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7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7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7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7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7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7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7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7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7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7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7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7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7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7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7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7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7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7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7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7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7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7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7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7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7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7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7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7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7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7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7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7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7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7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7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7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7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7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7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7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7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7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7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7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7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7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7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7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7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7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7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7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7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7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7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7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7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7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7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7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7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7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7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7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7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7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7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7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7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7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7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7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7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7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7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7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7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7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7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7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7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7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7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7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7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7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7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7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7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7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7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7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7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7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7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7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7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7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7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7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7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7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7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7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7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7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7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7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7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7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7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7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7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7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7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7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7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7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7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7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7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7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7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7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7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7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7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7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7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7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7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7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7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7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7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7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7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7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7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7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7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7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7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7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7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7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7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7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7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7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7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7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7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7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7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7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7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7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7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7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7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7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7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7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7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7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7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7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7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7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7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7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7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7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7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7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7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7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7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7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7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7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7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7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7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7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7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7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7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7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7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7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7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7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7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7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7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7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7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7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7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7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7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7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7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7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7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7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7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7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7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7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7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7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7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7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7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7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7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7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7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7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7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7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7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7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7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7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7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7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7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7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7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7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7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7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7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7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7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7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7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7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7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7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7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7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7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7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7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7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7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7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7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7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7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7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7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7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7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7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7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7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7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7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7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7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7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7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7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7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7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7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7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7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7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7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7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7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7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7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7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7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7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7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7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7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7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7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7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7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7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7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7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7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7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7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7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7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7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7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7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7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7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7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7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7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7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7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7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7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7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7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7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7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7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7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7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7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7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7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7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7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7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7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7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7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7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7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7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7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7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7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7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7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7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7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7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7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7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7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7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7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7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7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7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7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7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7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7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7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7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7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7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7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7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7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7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7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7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7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7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7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7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7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7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7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7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7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7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7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7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7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7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7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7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7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7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7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7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7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7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7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7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7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7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7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7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7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7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7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7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7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7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7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7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7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7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7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7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7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7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7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7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7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7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7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7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7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7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7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7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7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7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7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7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7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7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7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7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7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7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7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7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7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7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7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7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7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7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7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7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7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7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7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7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7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7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7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7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7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7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7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7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7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7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7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7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7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7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7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7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7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7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7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7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/>
      <c r="B1011" s="4"/>
      <c r="C1011" s="4"/>
      <c r="D1011" s="47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/>
      <c r="B1012" s="4"/>
      <c r="C1012" s="4"/>
      <c r="D1012" s="47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/>
      <c r="B1013" s="4"/>
      <c r="C1013" s="4"/>
      <c r="D1013" s="47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/>
      <c r="B1014" s="4"/>
      <c r="C1014" s="4"/>
      <c r="D1014" s="47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</sheetData>
  <mergeCells count="75">
    <mergeCell ref="A10:A20"/>
    <mergeCell ref="A21:A24"/>
    <mergeCell ref="A25:A26"/>
    <mergeCell ref="A27:A37"/>
    <mergeCell ref="A38:A50"/>
    <mergeCell ref="A51:A59"/>
    <mergeCell ref="A60:A64"/>
    <mergeCell ref="E96:E97"/>
    <mergeCell ref="F96:F97"/>
    <mergeCell ref="G96:G97"/>
    <mergeCell ref="H96:H97"/>
    <mergeCell ref="I96:I97"/>
    <mergeCell ref="J96:J97"/>
    <mergeCell ref="K96:K97"/>
    <mergeCell ref="A65:A68"/>
    <mergeCell ref="A69:A77"/>
    <mergeCell ref="A78:A86"/>
    <mergeCell ref="A87:A95"/>
    <mergeCell ref="A96:A97"/>
    <mergeCell ref="C96:C97"/>
    <mergeCell ref="D96:D97"/>
    <mergeCell ref="A98:A103"/>
    <mergeCell ref="A104:A108"/>
    <mergeCell ref="A109:A115"/>
    <mergeCell ref="A116:A121"/>
    <mergeCell ref="A122:A126"/>
    <mergeCell ref="A127:A130"/>
    <mergeCell ref="A131:A134"/>
    <mergeCell ref="A135:A141"/>
    <mergeCell ref="A142:A145"/>
    <mergeCell ref="A146:A148"/>
    <mergeCell ref="A149:A153"/>
    <mergeCell ref="A154:A159"/>
    <mergeCell ref="A160:A162"/>
    <mergeCell ref="A163:A166"/>
    <mergeCell ref="A203:A209"/>
    <mergeCell ref="A210:A213"/>
    <mergeCell ref="A214:A223"/>
    <mergeCell ref="A224:A230"/>
    <mergeCell ref="A231:A232"/>
    <mergeCell ref="A234:C234"/>
    <mergeCell ref="A235:C235"/>
    <mergeCell ref="A167:A168"/>
    <mergeCell ref="A169:A172"/>
    <mergeCell ref="A173:A180"/>
    <mergeCell ref="A181:A185"/>
    <mergeCell ref="A186:A190"/>
    <mergeCell ref="A191:A198"/>
    <mergeCell ref="A199:A202"/>
    <mergeCell ref="A3:K3"/>
    <mergeCell ref="F4:I4"/>
    <mergeCell ref="J4:J7"/>
    <mergeCell ref="K4:K7"/>
    <mergeCell ref="F5:F6"/>
    <mergeCell ref="G5:G6"/>
    <mergeCell ref="H5:H6"/>
    <mergeCell ref="I5:I7"/>
    <mergeCell ref="A1:K1"/>
    <mergeCell ref="A2:K2"/>
    <mergeCell ref="A4:A7"/>
    <mergeCell ref="B4:B7"/>
    <mergeCell ref="C4:C7"/>
    <mergeCell ref="D4:D7"/>
    <mergeCell ref="E4:E7"/>
    <mergeCell ref="H8:H9"/>
    <mergeCell ref="I8:I9"/>
    <mergeCell ref="J8:J9"/>
    <mergeCell ref="K8:K9"/>
    <mergeCell ref="A8:A9"/>
    <mergeCell ref="B8:B9"/>
    <mergeCell ref="C8:C9"/>
    <mergeCell ref="D8:D9"/>
    <mergeCell ref="E8:E9"/>
    <mergeCell ref="F8:F9"/>
    <mergeCell ref="G8:G9"/>
  </mergeCells>
  <printOptions/>
  <pageMargins bottom="0.7250397251640052" footer="0.0" header="0.0" left="0.45" right="0.45" top="0.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2018-06-11T03:34:07Z</dcterms:created>
  <dc:creator>HP 8</dc:creator>
</cp:coreProperties>
</file>