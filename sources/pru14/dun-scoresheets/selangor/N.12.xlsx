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5"/>
  <workbookPr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xr:revisionPtr revIDLastSave="74" documentId="11_05955D06A89C8DB5F2CAE255D8094FFAAAA9AD34" xr6:coauthVersionLast="47" xr6:coauthVersionMax="47" xr10:uidLastSave="{E12D01A2-A458-0642-88E3-3BF49B3D0E57}"/>
  <bookViews>
    <workbookView xWindow="0" yWindow="0" windowWidth="28800" windowHeight="12435" activeTab="1" xr2:uid="{00000000-000D-0000-FFFF-FFFF00000000}"/>
  </bookViews>
  <sheets>
    <sheet name="Sheet1" sheetId="1" r:id="rId1"/>
    <sheet name="Sheet2" sheetId="2" r:id="rId2"/>
  </sheets>
  <definedNames>
    <definedName name="_xlnm.Print_Titles" localSheetId="0">Sheet1!$5:$7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7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2" i="2"/>
  <c r="C17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1" i="2" a="1"/>
  <c r="A1" i="2"/>
  <c r="I49" i="1"/>
  <c r="H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<sst xmlns="http://schemas.openxmlformats.org/spreadsheetml/2006/main" count="84" uniqueCount="59">
  <si>
    <t>HELAIAN MATA (SCORESHEET)</t>
  </si>
  <si>
    <t>BAHAGIAN PILIHAN RAYA NEGERI: N.12 JERAM</t>
  </si>
  <si>
    <t>JUMLAH PEMILIH : 19,751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</si>
  <si>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</si>
  <si>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</si>
  <si>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</si>
  <si>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</si>
  <si>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</si>
  <si>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</si>
  <si>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</si>
  <si>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</si>
  <si>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SHAID BIN ROSLI</t>
  </si>
  <si>
    <t>USTAZ MOHD NOOR</t>
  </si>
  <si>
    <t>CIKGU ZAHAR</t>
  </si>
  <si>
    <t>Jumlah Undian Oleh Pemilih</t>
  </si>
  <si>
    <t>UNDI POS</t>
  </si>
  <si>
    <t>RUMAH KELAB IPPD KUALA SELANGOR</t>
  </si>
  <si>
    <t>FELDA BUKIT CHERAKAH</t>
  </si>
  <si>
    <t>096/12/01</t>
  </si>
  <si>
    <t>SEKOLAH KEBANGSAAN BUKIT CERAKA</t>
  </si>
  <si>
    <t>BUKIT HIJAU</t>
  </si>
  <si>
    <t>096/12/02</t>
  </si>
  <si>
    <t>PEJABAT JKKK KAMPUNG BUKIT HIJAU</t>
  </si>
  <si>
    <t>BUKIT KUCHING TENGAH</t>
  </si>
  <si>
    <t>096/12/03</t>
  </si>
  <si>
    <t>DEWAN ORANG RAMAI KAMPUNG BUKIT KUCHING TENGAH</t>
  </si>
  <si>
    <t>SIMPANG TIGA</t>
  </si>
  <si>
    <t>096/12/04</t>
  </si>
  <si>
    <t>SEKOLAH KEBANGSAAN JERAM</t>
  </si>
  <si>
    <t>JERAM</t>
  </si>
  <si>
    <t>096/12/05</t>
  </si>
  <si>
    <t>SEKOLAH KEBANGSAAN JERAM BATU 20 JERAM</t>
  </si>
  <si>
    <t>SUNGAI SEMBILANG</t>
  </si>
  <si>
    <t>096/12/06</t>
  </si>
  <si>
    <t>SEKOLAH RENDAH JENIS KEBANGSAAN (CINA) LIAT CHOON (PUSAT) BATU 17, JERAM</t>
  </si>
  <si>
    <t>TAMBAK JAWA</t>
  </si>
  <si>
    <t>096/12/07</t>
  </si>
  <si>
    <t>SEKOLAH KEBANGSAAN TAMBAK JAWA</t>
  </si>
  <si>
    <t>BUKIT CLOH</t>
  </si>
  <si>
    <t>096/12/08</t>
  </si>
  <si>
    <t>SEKOLAH JENIS KEBANGSAAN (TAMIL) LADANG BUKIT CHERAKA</t>
  </si>
  <si>
    <t>BUKIT KERAYONG</t>
  </si>
  <si>
    <t>096/12/09</t>
  </si>
  <si>
    <t>SEKOLAH KEBANGSAAN BUKIT KERAYONG</t>
  </si>
  <si>
    <t>SEKOLAH RENDAH AGAMA PEKAN JERAM</t>
  </si>
  <si>
    <t>BANDAR PUNCAK ALAM</t>
  </si>
  <si>
    <t>096/12/11</t>
  </si>
  <si>
    <t>SEKOLAH KEBANGSAAN PUNCAK ALAM 2</t>
  </si>
  <si>
    <t>TUAN MEE</t>
  </si>
  <si>
    <t>096/12/12</t>
  </si>
  <si>
    <t>SEKOLAH JENIS KEBANGSAAN (TAMIL) LADANG TUAN MEE</t>
  </si>
  <si>
    <t>JUMLAH</t>
  </si>
  <si>
    <t>© SPR 2018 Versi 1.1.0 - Suruhanjaya Pilihan Raya Malaysia</t>
  </si>
  <si>
    <t>UNDI AWAL
096/12/00</t>
  </si>
  <si>
    <t>JERAM PANTAI
096/12/10</t>
  </si>
  <si>
    <t>JUM. SALURAN</t>
  </si>
  <si>
    <t xml:space="preserve">JUM. PEMILIH </t>
  </si>
  <si>
    <t xml:space="preserve">JUM. UNDI YB SHAID </t>
  </si>
  <si>
    <t xml:space="preserve">PERC.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</si>
</sst>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1" fillId="0" borderId="0" xfId="0" applyFont="1" applyAlignment="1">
      <alignment horizontal="center" wrapText="1"/>
    </xf>
    <xf numFmtId="10" fontId="0" fillId="0" borderId="0" xfId="0" applyNumberFormat="1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6</xdr:row>
      <xdr:rowOff>180975</xdr:rowOff>
    </xdr:from>
    <xdr:to>
      <xdr:col>5</xdr:col>
      <xdr:colOff>666750</xdr:colOff>
      <xdr:row>6</xdr:row>
      <xdr:rowOff>657225</xdr:rowOff>
    </xdr:to>
    <xdr:pic>
      <xdr:nvPicPr>
        <xdr:cNvPr id="2" name="Picture 1" descr="http://spsp.spr.gov.my:8197/data_files/logo_parti/PKR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3609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6</xdr:row>
      <xdr:rowOff>219075</xdr:rowOff>
    </xdr:from>
    <xdr:to>
      <xdr:col>6</xdr:col>
      <xdr:colOff>666750</xdr:colOff>
      <xdr:row>6</xdr:row>
      <xdr:rowOff>695325</xdr:rowOff>
    </xdr:to>
    <xdr:pic>
      <xdr:nvPicPr>
        <xdr:cNvPr id="3" name="Picture 2" descr="http://spsp.spr.gov.my:8197/data_files/logo_parti/PAS.B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3648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190500</xdr:rowOff>
    </xdr:from>
    <xdr:to>
      <xdr:col>7</xdr:col>
      <xdr:colOff>609600</xdr:colOff>
      <xdr:row>6</xdr:row>
      <xdr:rowOff>666750</xdr:rowOff>
    </xdr:to>
    <xdr:pic>
      <xdr:nvPicPr>
        <xdr:cNvPr id="4" name="Picture 3" descr="http://spsp.spr.gov.my:8197/data_files/logo_parti/BN.BM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3619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opLeftCell="C6" zoomScaleNormal="100" workbookViewId="0">
      <selection activeCell="E10" sqref="E10:E14"/>
    </sheetView>
  </sheetViews>
  <sheetFormatPr defaultRowHeight="15" x14ac:dyDescent="0.2"/>
  <cols>
    <col min="1" max="1" width="4.03515625" style="9" customWidth="1"/>
    <col min="2" max="2" width="20.84765625" customWidth="1"/>
    <col min="3" max="3" width="76.54296875" bestFit="1" customWidth="1"/>
    <col min="4" max="4" width="12.375" style="8" customWidth="1"/>
    <col min="5" max="5" width="12.10546875" style="8" customWidth="1"/>
    <col min="6" max="6" width="13.85546875" style="8" customWidth="1"/>
    <col min="7" max="7" width="17.08203125" style="8" customWidth="1"/>
    <col min="8" max="8" width="11.97265625" style="8" customWidth="1"/>
    <col min="9" max="10" width="9.14453125" style="8"/>
    <col min="11" max="11" width="13.046875" style="8" customWidth="1"/>
  </cols>
  <sheetData>
    <row r="1" spans="1:11" ht="15" customHeight="1" x14ac:dyDescent="0.2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15" customHeight="1" x14ac:dyDescent="0.2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6"/>
    </row>
    <row r="3" spans="1:11" x14ac:dyDescent="0.2">
      <c r="A3" s="37"/>
      <c r="B3" s="38"/>
      <c r="C3" s="38"/>
      <c r="D3" s="38"/>
      <c r="E3" s="38"/>
      <c r="F3" s="38"/>
      <c r="G3" s="38"/>
      <c r="H3" s="38"/>
      <c r="I3" s="38"/>
      <c r="J3" s="38"/>
      <c r="K3" s="27"/>
    </row>
    <row r="4" spans="1:11" ht="15" customHeight="1" x14ac:dyDescent="0.2">
      <c r="A4" s="39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1"/>
    </row>
    <row r="5" spans="1:11" ht="36" customHeight="1" x14ac:dyDescent="0.2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25" t="s">
        <v>8</v>
      </c>
      <c r="G5" s="26"/>
      <c r="H5" s="26"/>
      <c r="I5" s="42"/>
      <c r="J5" s="28" t="s">
        <v>9</v>
      </c>
      <c r="K5" s="28" t="s">
        <v>10</v>
      </c>
    </row>
    <row r="6" spans="1:11" ht="30" customHeight="1" x14ac:dyDescent="0.2">
      <c r="A6" s="29"/>
      <c r="B6" s="29"/>
      <c r="C6" s="29"/>
      <c r="D6" s="29"/>
      <c r="E6" s="29"/>
      <c r="F6" s="1" t="s">
        <v>11</v>
      </c>
      <c r="G6" s="1" t="s">
        <v>12</v>
      </c>
      <c r="H6" s="1" t="s">
        <v>13</v>
      </c>
      <c r="I6" s="28" t="s">
        <v>14</v>
      </c>
      <c r="J6" s="29"/>
      <c r="K6" s="29"/>
    </row>
    <row r="7" spans="1:11" ht="69.75" customHeight="1" x14ac:dyDescent="0.2">
      <c r="A7" s="30"/>
      <c r="B7" s="30"/>
      <c r="C7" s="29"/>
      <c r="D7" s="29"/>
      <c r="E7" s="30"/>
      <c r="F7" s="2"/>
      <c r="G7" s="2"/>
      <c r="H7" s="2"/>
      <c r="I7" s="30"/>
      <c r="J7" s="30"/>
      <c r="K7" s="30"/>
    </row>
    <row r="8" spans="1:11" ht="15" customHeight="1" x14ac:dyDescent="0.2">
      <c r="A8" s="3">
        <v>1</v>
      </c>
      <c r="B8" s="11" t="s">
        <v>15</v>
      </c>
      <c r="C8" s="14" t="s">
        <v>15</v>
      </c>
      <c r="D8" s="15">
        <v>1</v>
      </c>
      <c r="E8" s="16">
        <v>174</v>
      </c>
      <c r="F8" s="4">
        <v>38</v>
      </c>
      <c r="G8" s="4">
        <v>46</v>
      </c>
      <c r="H8" s="4">
        <v>53</v>
      </c>
      <c r="I8" s="4">
        <v>137</v>
      </c>
      <c r="J8" s="4">
        <v>6</v>
      </c>
      <c r="K8" s="4">
        <v>31</v>
      </c>
    </row>
    <row r="9" spans="1:11" ht="27.75" x14ac:dyDescent="0.2">
      <c r="A9" s="4">
        <v>2</v>
      </c>
      <c r="B9" s="11" t="s">
        <v>53</v>
      </c>
      <c r="C9" s="14" t="s">
        <v>16</v>
      </c>
      <c r="D9" s="15">
        <v>1</v>
      </c>
      <c r="E9" s="16">
        <v>25</v>
      </c>
      <c r="F9" s="4">
        <v>0</v>
      </c>
      <c r="G9" s="4">
        <v>2</v>
      </c>
      <c r="H9" s="4">
        <v>22</v>
      </c>
      <c r="I9" s="4">
        <v>24</v>
      </c>
      <c r="J9" s="4">
        <v>1</v>
      </c>
      <c r="K9" s="4">
        <v>0</v>
      </c>
    </row>
    <row r="10" spans="1:11" x14ac:dyDescent="0.2">
      <c r="A10" s="23">
        <v>3</v>
      </c>
      <c r="B10" s="11" t="s">
        <v>17</v>
      </c>
      <c r="C10" s="14" t="s">
        <v>19</v>
      </c>
      <c r="D10" s="15">
        <v>1</v>
      </c>
      <c r="E10" s="13">
        <v>323</v>
      </c>
      <c r="F10" s="5">
        <v>83</v>
      </c>
      <c r="G10" s="5">
        <v>39</v>
      </c>
      <c r="H10" s="5">
        <v>200</v>
      </c>
      <c r="I10" s="5">
        <v>322</v>
      </c>
      <c r="J10" s="5">
        <v>1</v>
      </c>
      <c r="K10" s="5">
        <v>0</v>
      </c>
    </row>
    <row r="11" spans="1:11" x14ac:dyDescent="0.2">
      <c r="A11" s="24"/>
      <c r="B11" s="12" t="s">
        <v>18</v>
      </c>
      <c r="C11" s="14" t="s">
        <v>19</v>
      </c>
      <c r="D11" s="15">
        <v>2</v>
      </c>
      <c r="E11" s="13">
        <v>632</v>
      </c>
      <c r="F11" s="5">
        <v>234</v>
      </c>
      <c r="G11" s="5">
        <v>141</v>
      </c>
      <c r="H11" s="5">
        <v>253</v>
      </c>
      <c r="I11" s="5">
        <v>628</v>
      </c>
      <c r="J11" s="5">
        <v>4</v>
      </c>
      <c r="K11" s="5">
        <v>0</v>
      </c>
    </row>
    <row r="12" spans="1:11" x14ac:dyDescent="0.2">
      <c r="A12" s="23">
        <v>4</v>
      </c>
      <c r="B12" s="11" t="s">
        <v>20</v>
      </c>
      <c r="C12" s="14" t="s">
        <v>22</v>
      </c>
      <c r="D12" s="15">
        <v>1</v>
      </c>
      <c r="E12" s="13">
        <v>323</v>
      </c>
      <c r="F12" s="5">
        <v>34</v>
      </c>
      <c r="G12" s="5">
        <v>91</v>
      </c>
      <c r="H12" s="5">
        <v>188</v>
      </c>
      <c r="I12" s="5">
        <v>313</v>
      </c>
      <c r="J12" s="5">
        <v>10</v>
      </c>
      <c r="K12" s="5">
        <v>0</v>
      </c>
    </row>
    <row r="13" spans="1:11" x14ac:dyDescent="0.2">
      <c r="A13" s="24"/>
      <c r="B13" s="12" t="s">
        <v>21</v>
      </c>
      <c r="C13" s="14" t="s">
        <v>22</v>
      </c>
      <c r="D13" s="15">
        <v>2</v>
      </c>
      <c r="E13" s="13">
        <v>447</v>
      </c>
      <c r="F13" s="5">
        <v>52</v>
      </c>
      <c r="G13" s="5">
        <v>182</v>
      </c>
      <c r="H13" s="5">
        <v>212</v>
      </c>
      <c r="I13" s="5">
        <v>446</v>
      </c>
      <c r="J13" s="5">
        <v>1</v>
      </c>
      <c r="K13" s="5">
        <v>0</v>
      </c>
    </row>
    <row r="14" spans="1:11" x14ac:dyDescent="0.2">
      <c r="A14" s="24"/>
      <c r="B14" s="12"/>
      <c r="C14" s="14" t="s">
        <v>22</v>
      </c>
      <c r="D14" s="15">
        <v>3</v>
      </c>
      <c r="E14" s="13">
        <v>427</v>
      </c>
      <c r="F14" s="5">
        <v>102</v>
      </c>
      <c r="G14" s="5">
        <v>164</v>
      </c>
      <c r="H14" s="5">
        <v>159</v>
      </c>
      <c r="I14" s="5">
        <v>425</v>
      </c>
      <c r="J14" s="5">
        <v>2</v>
      </c>
      <c r="K14" s="5">
        <v>0</v>
      </c>
    </row>
    <row r="15" spans="1:11" x14ac:dyDescent="0.2">
      <c r="A15" s="23">
        <v>5</v>
      </c>
      <c r="B15" s="11" t="s">
        <v>23</v>
      </c>
      <c r="C15" s="14" t="s">
        <v>25</v>
      </c>
      <c r="D15" s="15">
        <v>1</v>
      </c>
      <c r="E15" s="13">
        <v>311</v>
      </c>
      <c r="F15" s="5">
        <v>58</v>
      </c>
      <c r="G15" s="5">
        <v>48</v>
      </c>
      <c r="H15" s="5">
        <v>200</v>
      </c>
      <c r="I15" s="5">
        <v>306</v>
      </c>
      <c r="J15" s="5">
        <v>5</v>
      </c>
      <c r="K15" s="5">
        <v>0</v>
      </c>
    </row>
    <row r="16" spans="1:11" x14ac:dyDescent="0.2">
      <c r="A16" s="24"/>
      <c r="B16" s="12" t="s">
        <v>24</v>
      </c>
      <c r="C16" s="14" t="s">
        <v>25</v>
      </c>
      <c r="D16" s="15">
        <v>2</v>
      </c>
      <c r="E16" s="13">
        <v>367</v>
      </c>
      <c r="F16" s="5">
        <v>99</v>
      </c>
      <c r="G16" s="5">
        <v>99</v>
      </c>
      <c r="H16" s="5">
        <v>163</v>
      </c>
      <c r="I16" s="5">
        <v>361</v>
      </c>
      <c r="J16" s="5">
        <v>6</v>
      </c>
      <c r="K16" s="5">
        <v>0</v>
      </c>
    </row>
    <row r="17" spans="1:11" x14ac:dyDescent="0.2">
      <c r="A17" s="23">
        <v>6</v>
      </c>
      <c r="B17" s="11" t="s">
        <v>26</v>
      </c>
      <c r="C17" s="14" t="s">
        <v>28</v>
      </c>
      <c r="D17" s="15">
        <v>1</v>
      </c>
      <c r="E17" s="13">
        <v>275</v>
      </c>
      <c r="F17" s="5">
        <v>117</v>
      </c>
      <c r="G17" s="5">
        <v>30</v>
      </c>
      <c r="H17" s="5">
        <v>114</v>
      </c>
      <c r="I17" s="5">
        <v>261</v>
      </c>
      <c r="J17" s="5">
        <v>14</v>
      </c>
      <c r="K17" s="5">
        <v>0</v>
      </c>
    </row>
    <row r="18" spans="1:11" x14ac:dyDescent="0.2">
      <c r="A18" s="24"/>
      <c r="B18" s="12" t="s">
        <v>27</v>
      </c>
      <c r="C18" s="14" t="s">
        <v>28</v>
      </c>
      <c r="D18" s="15">
        <v>2</v>
      </c>
      <c r="E18" s="13">
        <v>630</v>
      </c>
      <c r="F18" s="5">
        <v>253</v>
      </c>
      <c r="G18" s="5">
        <v>116</v>
      </c>
      <c r="H18" s="5">
        <v>247</v>
      </c>
      <c r="I18" s="5">
        <v>616</v>
      </c>
      <c r="J18" s="5">
        <v>14</v>
      </c>
      <c r="K18" s="5">
        <v>0</v>
      </c>
    </row>
    <row r="19" spans="1:11" x14ac:dyDescent="0.2">
      <c r="A19" s="24"/>
      <c r="B19" s="12"/>
      <c r="C19" s="14" t="s">
        <v>28</v>
      </c>
      <c r="D19" s="15">
        <v>3</v>
      </c>
      <c r="E19" s="13">
        <v>580</v>
      </c>
      <c r="F19" s="5">
        <v>282</v>
      </c>
      <c r="G19" s="5">
        <v>94</v>
      </c>
      <c r="H19" s="5">
        <v>199</v>
      </c>
      <c r="I19" s="5">
        <v>575</v>
      </c>
      <c r="J19" s="5">
        <v>5</v>
      </c>
      <c r="K19" s="5">
        <v>0</v>
      </c>
    </row>
    <row r="20" spans="1:11" x14ac:dyDescent="0.2">
      <c r="A20" s="23">
        <v>7</v>
      </c>
      <c r="B20" s="11" t="s">
        <v>29</v>
      </c>
      <c r="C20" s="14" t="s">
        <v>31</v>
      </c>
      <c r="D20" s="15">
        <v>1</v>
      </c>
      <c r="E20" s="13">
        <v>288</v>
      </c>
      <c r="F20" s="5">
        <v>113</v>
      </c>
      <c r="G20" s="5">
        <v>47</v>
      </c>
      <c r="H20" s="5">
        <v>125</v>
      </c>
      <c r="I20" s="5">
        <v>285</v>
      </c>
      <c r="J20" s="5">
        <v>3</v>
      </c>
      <c r="K20" s="5">
        <v>0</v>
      </c>
    </row>
    <row r="21" spans="1:11" x14ac:dyDescent="0.2">
      <c r="A21" s="24"/>
      <c r="B21" s="12" t="s">
        <v>30</v>
      </c>
      <c r="C21" s="14" t="s">
        <v>31</v>
      </c>
      <c r="D21" s="15">
        <v>2</v>
      </c>
      <c r="E21" s="13">
        <v>368</v>
      </c>
      <c r="F21" s="5">
        <v>177</v>
      </c>
      <c r="G21" s="5">
        <v>73</v>
      </c>
      <c r="H21" s="5">
        <v>116</v>
      </c>
      <c r="I21" s="5">
        <v>366</v>
      </c>
      <c r="J21" s="5">
        <v>2</v>
      </c>
      <c r="K21" s="5">
        <v>0</v>
      </c>
    </row>
    <row r="22" spans="1:11" x14ac:dyDescent="0.2">
      <c r="A22" s="23">
        <v>8</v>
      </c>
      <c r="B22" s="11" t="s">
        <v>32</v>
      </c>
      <c r="C22" s="14" t="s">
        <v>34</v>
      </c>
      <c r="D22" s="15">
        <v>1</v>
      </c>
      <c r="E22" s="13">
        <v>281</v>
      </c>
      <c r="F22" s="5">
        <v>88</v>
      </c>
      <c r="G22" s="5">
        <v>45</v>
      </c>
      <c r="H22" s="5">
        <v>139</v>
      </c>
      <c r="I22" s="5">
        <v>272</v>
      </c>
      <c r="J22" s="5">
        <v>9</v>
      </c>
      <c r="K22" s="5">
        <v>0</v>
      </c>
    </row>
    <row r="23" spans="1:11" x14ac:dyDescent="0.2">
      <c r="A23" s="24"/>
      <c r="B23" s="12" t="s">
        <v>33</v>
      </c>
      <c r="C23" s="14" t="s">
        <v>34</v>
      </c>
      <c r="D23" s="15">
        <v>2</v>
      </c>
      <c r="E23" s="13">
        <v>497</v>
      </c>
      <c r="F23" s="5">
        <v>155</v>
      </c>
      <c r="G23" s="5">
        <v>113</v>
      </c>
      <c r="H23" s="5">
        <v>224</v>
      </c>
      <c r="I23" s="5">
        <v>492</v>
      </c>
      <c r="J23" s="5">
        <v>5</v>
      </c>
      <c r="K23" s="5">
        <v>0</v>
      </c>
    </row>
    <row r="24" spans="1:11" x14ac:dyDescent="0.2">
      <c r="A24" s="24"/>
      <c r="B24" s="12"/>
      <c r="C24" s="14" t="s">
        <v>34</v>
      </c>
      <c r="D24" s="15">
        <v>3</v>
      </c>
      <c r="E24" s="13">
        <v>473</v>
      </c>
      <c r="F24" s="5">
        <v>181</v>
      </c>
      <c r="G24" s="5">
        <v>121</v>
      </c>
      <c r="H24" s="5">
        <v>169</v>
      </c>
      <c r="I24" s="5">
        <v>471</v>
      </c>
      <c r="J24" s="5">
        <v>2</v>
      </c>
      <c r="K24" s="5">
        <v>0</v>
      </c>
    </row>
    <row r="25" spans="1:11" x14ac:dyDescent="0.2">
      <c r="A25" s="23">
        <v>9</v>
      </c>
      <c r="B25" s="11" t="s">
        <v>35</v>
      </c>
      <c r="C25" s="14" t="s">
        <v>37</v>
      </c>
      <c r="D25" s="15">
        <v>1</v>
      </c>
      <c r="E25" s="13">
        <v>297</v>
      </c>
      <c r="F25" s="5">
        <v>143</v>
      </c>
      <c r="G25" s="5">
        <v>27</v>
      </c>
      <c r="H25" s="5">
        <v>118</v>
      </c>
      <c r="I25" s="5">
        <v>288</v>
      </c>
      <c r="J25" s="5">
        <v>9</v>
      </c>
      <c r="K25" s="5">
        <v>0</v>
      </c>
    </row>
    <row r="26" spans="1:11" x14ac:dyDescent="0.2">
      <c r="A26" s="24"/>
      <c r="B26" s="12" t="s">
        <v>36</v>
      </c>
      <c r="C26" s="14" t="s">
        <v>37</v>
      </c>
      <c r="D26" s="15">
        <v>2</v>
      </c>
      <c r="E26" s="13">
        <v>573</v>
      </c>
      <c r="F26" s="5">
        <v>278</v>
      </c>
      <c r="G26" s="5">
        <v>71</v>
      </c>
      <c r="H26" s="5">
        <v>216</v>
      </c>
      <c r="I26" s="5">
        <v>565</v>
      </c>
      <c r="J26" s="5">
        <v>8</v>
      </c>
      <c r="K26" s="5">
        <v>0</v>
      </c>
    </row>
    <row r="27" spans="1:11" x14ac:dyDescent="0.2">
      <c r="A27" s="24"/>
      <c r="B27" s="12"/>
      <c r="C27" s="14" t="s">
        <v>37</v>
      </c>
      <c r="D27" s="15">
        <v>3</v>
      </c>
      <c r="E27" s="13">
        <v>587</v>
      </c>
      <c r="F27" s="5">
        <v>348</v>
      </c>
      <c r="G27" s="5">
        <v>101</v>
      </c>
      <c r="H27" s="5">
        <v>133</v>
      </c>
      <c r="I27" s="5">
        <v>582</v>
      </c>
      <c r="J27" s="5">
        <v>5</v>
      </c>
      <c r="K27" s="5">
        <v>0</v>
      </c>
    </row>
    <row r="28" spans="1:11" x14ac:dyDescent="0.2">
      <c r="A28" s="23">
        <v>10</v>
      </c>
      <c r="B28" s="11" t="s">
        <v>38</v>
      </c>
      <c r="C28" s="14" t="s">
        <v>40</v>
      </c>
      <c r="D28" s="15">
        <v>1</v>
      </c>
      <c r="E28" s="13">
        <v>289</v>
      </c>
      <c r="F28" s="5">
        <v>142</v>
      </c>
      <c r="G28" s="5">
        <v>23</v>
      </c>
      <c r="H28" s="5">
        <v>102</v>
      </c>
      <c r="I28" s="5">
        <v>267</v>
      </c>
      <c r="J28" s="5">
        <v>22</v>
      </c>
      <c r="K28" s="5">
        <v>0</v>
      </c>
    </row>
    <row r="29" spans="1:11" x14ac:dyDescent="0.2">
      <c r="A29" s="24"/>
      <c r="B29" s="12" t="s">
        <v>39</v>
      </c>
      <c r="C29" s="14" t="s">
        <v>40</v>
      </c>
      <c r="D29" s="15">
        <v>2</v>
      </c>
      <c r="E29" s="13">
        <v>541</v>
      </c>
      <c r="F29" s="5">
        <v>328</v>
      </c>
      <c r="G29" s="5">
        <v>58</v>
      </c>
      <c r="H29" s="5">
        <v>146</v>
      </c>
      <c r="I29" s="5">
        <v>532</v>
      </c>
      <c r="J29" s="5">
        <v>9</v>
      </c>
      <c r="K29" s="5">
        <v>0</v>
      </c>
    </row>
    <row r="30" spans="1:11" x14ac:dyDescent="0.2">
      <c r="A30" s="23">
        <v>11</v>
      </c>
      <c r="B30" s="11" t="s">
        <v>41</v>
      </c>
      <c r="C30" s="14" t="s">
        <v>43</v>
      </c>
      <c r="D30" s="15">
        <v>1</v>
      </c>
      <c r="E30" s="13">
        <v>326</v>
      </c>
      <c r="F30" s="5">
        <v>29</v>
      </c>
      <c r="G30" s="5">
        <v>67</v>
      </c>
      <c r="H30" s="5">
        <v>224</v>
      </c>
      <c r="I30" s="5">
        <v>320</v>
      </c>
      <c r="J30" s="5">
        <v>6</v>
      </c>
      <c r="K30" s="5">
        <v>0</v>
      </c>
    </row>
    <row r="31" spans="1:11" x14ac:dyDescent="0.2">
      <c r="A31" s="24"/>
      <c r="B31" s="12" t="s">
        <v>42</v>
      </c>
      <c r="C31" s="14" t="s">
        <v>43</v>
      </c>
      <c r="D31" s="15">
        <v>2</v>
      </c>
      <c r="E31" s="13">
        <v>511</v>
      </c>
      <c r="F31" s="5">
        <v>91</v>
      </c>
      <c r="G31" s="5">
        <v>183</v>
      </c>
      <c r="H31" s="5">
        <v>235</v>
      </c>
      <c r="I31" s="5">
        <v>509</v>
      </c>
      <c r="J31" s="5">
        <v>2</v>
      </c>
      <c r="K31" s="5">
        <v>0</v>
      </c>
    </row>
    <row r="32" spans="1:11" x14ac:dyDescent="0.2">
      <c r="A32" s="24"/>
      <c r="B32" s="12"/>
      <c r="C32" s="14" t="s">
        <v>43</v>
      </c>
      <c r="D32" s="15">
        <v>3</v>
      </c>
      <c r="E32" s="13">
        <v>502</v>
      </c>
      <c r="F32" s="5">
        <v>138</v>
      </c>
      <c r="G32" s="5">
        <v>163</v>
      </c>
      <c r="H32" s="5">
        <v>197</v>
      </c>
      <c r="I32" s="5">
        <v>498</v>
      </c>
      <c r="J32" s="5">
        <v>4</v>
      </c>
      <c r="K32" s="5">
        <v>0</v>
      </c>
    </row>
    <row r="33" spans="1:11" ht="27.75" x14ac:dyDescent="0.2">
      <c r="A33" s="4">
        <v>12</v>
      </c>
      <c r="B33" s="11" t="s">
        <v>54</v>
      </c>
      <c r="C33" s="14" t="s">
        <v>44</v>
      </c>
      <c r="D33" s="15">
        <v>1</v>
      </c>
      <c r="E33" s="16">
        <v>477</v>
      </c>
      <c r="F33" s="4">
        <v>147</v>
      </c>
      <c r="G33" s="4">
        <v>127</v>
      </c>
      <c r="H33" s="4">
        <v>198</v>
      </c>
      <c r="I33" s="4">
        <v>472</v>
      </c>
      <c r="J33" s="4">
        <v>5</v>
      </c>
      <c r="K33" s="4">
        <v>0</v>
      </c>
    </row>
    <row r="34" spans="1:11" x14ac:dyDescent="0.2">
      <c r="A34" s="23">
        <v>13</v>
      </c>
      <c r="B34" s="11" t="s">
        <v>45</v>
      </c>
      <c r="C34" s="14" t="s">
        <v>47</v>
      </c>
      <c r="D34" s="15">
        <v>1</v>
      </c>
      <c r="E34" s="13">
        <v>329</v>
      </c>
      <c r="F34" s="5">
        <v>128</v>
      </c>
      <c r="G34" s="5">
        <v>68</v>
      </c>
      <c r="H34" s="5">
        <v>131</v>
      </c>
      <c r="I34" s="5">
        <v>327</v>
      </c>
      <c r="J34" s="5">
        <v>2</v>
      </c>
      <c r="K34" s="5">
        <v>0</v>
      </c>
    </row>
    <row r="35" spans="1:11" x14ac:dyDescent="0.2">
      <c r="A35" s="24"/>
      <c r="B35" s="12" t="s">
        <v>46</v>
      </c>
      <c r="C35" s="14" t="s">
        <v>47</v>
      </c>
      <c r="D35" s="15">
        <v>2</v>
      </c>
      <c r="E35" s="13">
        <v>724</v>
      </c>
      <c r="F35" s="5">
        <v>260</v>
      </c>
      <c r="G35" s="5">
        <v>271</v>
      </c>
      <c r="H35" s="5">
        <v>192</v>
      </c>
      <c r="I35" s="5">
        <v>723</v>
      </c>
      <c r="J35" s="5">
        <v>1</v>
      </c>
      <c r="K35" s="5">
        <v>0</v>
      </c>
    </row>
    <row r="36" spans="1:11" x14ac:dyDescent="0.2">
      <c r="A36" s="24"/>
      <c r="B36" s="12"/>
      <c r="C36" s="14" t="s">
        <v>47</v>
      </c>
      <c r="D36" s="15">
        <v>3</v>
      </c>
      <c r="E36" s="13">
        <v>724</v>
      </c>
      <c r="F36" s="5">
        <v>234</v>
      </c>
      <c r="G36" s="5">
        <v>300</v>
      </c>
      <c r="H36" s="5">
        <v>185</v>
      </c>
      <c r="I36" s="5">
        <v>719</v>
      </c>
      <c r="J36" s="5">
        <v>5</v>
      </c>
      <c r="K36" s="5">
        <v>0</v>
      </c>
    </row>
    <row r="37" spans="1:11" x14ac:dyDescent="0.2">
      <c r="A37" s="24"/>
      <c r="B37" s="12"/>
      <c r="C37" s="14" t="s">
        <v>47</v>
      </c>
      <c r="D37" s="15">
        <v>4</v>
      </c>
      <c r="E37" s="13">
        <v>704</v>
      </c>
      <c r="F37" s="5">
        <v>247</v>
      </c>
      <c r="G37" s="5">
        <v>289</v>
      </c>
      <c r="H37" s="5">
        <v>166</v>
      </c>
      <c r="I37" s="5">
        <v>702</v>
      </c>
      <c r="J37" s="5">
        <v>2</v>
      </c>
      <c r="K37" s="5">
        <v>0</v>
      </c>
    </row>
    <row r="38" spans="1:11" x14ac:dyDescent="0.2">
      <c r="A38" s="24"/>
      <c r="B38" s="12"/>
      <c r="C38" s="14" t="s">
        <v>47</v>
      </c>
      <c r="D38" s="15">
        <v>5</v>
      </c>
      <c r="E38" s="13">
        <v>696</v>
      </c>
      <c r="F38" s="5">
        <v>291</v>
      </c>
      <c r="G38" s="5">
        <v>258</v>
      </c>
      <c r="H38" s="5">
        <v>146</v>
      </c>
      <c r="I38" s="5">
        <v>695</v>
      </c>
      <c r="J38" s="5">
        <v>1</v>
      </c>
      <c r="K38" s="5">
        <v>0</v>
      </c>
    </row>
    <row r="39" spans="1:11" x14ac:dyDescent="0.2">
      <c r="A39" s="24"/>
      <c r="B39" s="12"/>
      <c r="C39" s="14" t="s">
        <v>47</v>
      </c>
      <c r="D39" s="15">
        <v>6</v>
      </c>
      <c r="E39" s="13">
        <v>646</v>
      </c>
      <c r="F39" s="5">
        <v>334</v>
      </c>
      <c r="G39" s="5">
        <v>211</v>
      </c>
      <c r="H39" s="5">
        <v>100</v>
      </c>
      <c r="I39" s="5">
        <v>645</v>
      </c>
      <c r="J39" s="5">
        <v>1</v>
      </c>
      <c r="K39" s="5">
        <v>0</v>
      </c>
    </row>
    <row r="40" spans="1:11" x14ac:dyDescent="0.2">
      <c r="A40" s="24"/>
      <c r="B40" s="12"/>
      <c r="C40" s="14" t="s">
        <v>47</v>
      </c>
      <c r="D40" s="15">
        <v>7</v>
      </c>
      <c r="E40" s="13">
        <v>663</v>
      </c>
      <c r="F40" s="5">
        <v>337</v>
      </c>
      <c r="G40" s="5">
        <v>210</v>
      </c>
      <c r="H40" s="5">
        <v>114</v>
      </c>
      <c r="I40" s="5">
        <v>661</v>
      </c>
      <c r="J40" s="5">
        <v>2</v>
      </c>
      <c r="K40" s="5">
        <v>0</v>
      </c>
    </row>
    <row r="41" spans="1:11" x14ac:dyDescent="0.2">
      <c r="A41" s="24"/>
      <c r="B41" s="12"/>
      <c r="C41" s="14" t="s">
        <v>47</v>
      </c>
      <c r="D41" s="15">
        <v>8</v>
      </c>
      <c r="E41" s="13">
        <v>685</v>
      </c>
      <c r="F41" s="5">
        <v>329</v>
      </c>
      <c r="G41" s="5">
        <v>231</v>
      </c>
      <c r="H41" s="5">
        <v>125</v>
      </c>
      <c r="I41" s="5">
        <v>685</v>
      </c>
      <c r="J41" s="5">
        <v>0</v>
      </c>
      <c r="K41" s="5">
        <v>0</v>
      </c>
    </row>
    <row r="42" spans="1:11" x14ac:dyDescent="0.2">
      <c r="A42" s="23">
        <v>14</v>
      </c>
      <c r="B42" s="11" t="s">
        <v>48</v>
      </c>
      <c r="C42" s="14" t="s">
        <v>50</v>
      </c>
      <c r="D42" s="15">
        <v>1</v>
      </c>
      <c r="E42" s="13">
        <v>284</v>
      </c>
      <c r="F42" s="5">
        <v>174</v>
      </c>
      <c r="G42" s="5">
        <v>23</v>
      </c>
      <c r="H42" s="5">
        <v>82</v>
      </c>
      <c r="I42" s="5">
        <v>279</v>
      </c>
      <c r="J42" s="5">
        <v>5</v>
      </c>
      <c r="K42" s="5">
        <v>0</v>
      </c>
    </row>
    <row r="43" spans="1:11" x14ac:dyDescent="0.2">
      <c r="A43" s="24"/>
      <c r="B43" s="12" t="s">
        <v>49</v>
      </c>
      <c r="C43" s="14" t="s">
        <v>50</v>
      </c>
      <c r="D43" s="15">
        <v>2</v>
      </c>
      <c r="E43" s="13">
        <v>530</v>
      </c>
      <c r="F43" s="5">
        <v>332</v>
      </c>
      <c r="G43" s="5">
        <v>57</v>
      </c>
      <c r="H43" s="5">
        <v>137</v>
      </c>
      <c r="I43" s="5">
        <v>526</v>
      </c>
      <c r="J43" s="5">
        <v>4</v>
      </c>
      <c r="K43" s="5">
        <v>0</v>
      </c>
    </row>
    <row r="44" spans="1:11" x14ac:dyDescent="0.2">
      <c r="A44" s="24"/>
      <c r="B44" s="12"/>
      <c r="C44" s="14" t="s">
        <v>50</v>
      </c>
      <c r="D44" s="15">
        <v>3</v>
      </c>
      <c r="E44" s="13">
        <v>519</v>
      </c>
      <c r="F44" s="5">
        <v>342</v>
      </c>
      <c r="G44" s="5">
        <v>86</v>
      </c>
      <c r="H44" s="5">
        <v>83</v>
      </c>
      <c r="I44" s="5">
        <v>511</v>
      </c>
      <c r="J44" s="5">
        <v>7</v>
      </c>
      <c r="K44" s="5">
        <v>1</v>
      </c>
    </row>
    <row r="45" spans="1:11" x14ac:dyDescent="0.2">
      <c r="A45" s="24"/>
      <c r="B45" s="12"/>
      <c r="C45" s="14" t="s">
        <v>50</v>
      </c>
      <c r="D45" s="15">
        <v>4</v>
      </c>
      <c r="E45" s="13">
        <v>506</v>
      </c>
      <c r="F45" s="5">
        <v>369</v>
      </c>
      <c r="G45" s="5">
        <v>51</v>
      </c>
      <c r="H45" s="5">
        <v>83</v>
      </c>
      <c r="I45" s="5">
        <v>503</v>
      </c>
      <c r="J45" s="5">
        <v>3</v>
      </c>
      <c r="K45" s="5">
        <v>0</v>
      </c>
    </row>
    <row r="46" spans="1:11" ht="15" customHeight="1" x14ac:dyDescent="0.2">
      <c r="A46" s="25" t="s">
        <v>51</v>
      </c>
      <c r="B46" s="26"/>
      <c r="C46" s="27"/>
      <c r="D46" s="2">
        <v>38</v>
      </c>
      <c r="E46" s="7">
        <v>17534</v>
      </c>
      <c r="F46" s="7">
        <v>7087</v>
      </c>
      <c r="G46" s="7">
        <v>4326</v>
      </c>
      <c r="H46" s="7">
        <v>5896</v>
      </c>
      <c r="I46" s="7">
        <v>17309</v>
      </c>
      <c r="J46" s="6">
        <v>193</v>
      </c>
      <c r="K46" s="6">
        <v>32</v>
      </c>
    </row>
    <row r="48" spans="1:11" x14ac:dyDescent="0.2">
      <c r="A48" s="10" t="s">
        <v>52</v>
      </c>
    </row>
    <row r="49" spans="8:9" x14ac:dyDescent="0.2">
      <c r="H49" s="17">
        <f>SUM(F46+H46)</f>
        <v>12983</v>
      </c>
      <c r="I49" s="18">
        <f>H49/I46</f>
        <v>0.75007221676584435</v>
      </c>
    </row>
  </sheetData>
  <mergeCells count="25"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A25:A27"/>
    <mergeCell ref="A10:A11"/>
    <mergeCell ref="J5:J7"/>
    <mergeCell ref="K5:K7"/>
    <mergeCell ref="I6:I7"/>
    <mergeCell ref="A12:A14"/>
    <mergeCell ref="A15:A16"/>
    <mergeCell ref="A17:A19"/>
    <mergeCell ref="A20:A21"/>
    <mergeCell ref="A22:A24"/>
    <mergeCell ref="A34:A41"/>
    <mergeCell ref="A42:A45"/>
    <mergeCell ref="A46:C46"/>
    <mergeCell ref="A28:A29"/>
    <mergeCell ref="A30:A32"/>
  </mergeCells>
  <pageMargins left="0.25" right="0.25" top="0.75" bottom="0.75" header="0.3" footer="0.3"/>
  <pageSetup paperSize="9" scale="72" fitToHeight="0" orientation="landscape" horizontalDpi="300" verticalDpi="300" r:id="rId1"/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23EA-09D7-8F46-9176-97896D8598C6}">
  <dimension ref="A1:E17"/>
  <sheetViews>
    <sheetView tabSelected="1" topLeftCell="B8" zoomScaleNormal="150" zoomScaleSheetLayoutView="100" workbookViewId="0">
      <selection activeCell="G22" sqref="G22"/>
    </sheetView>
  </sheetViews>
  <sheetFormatPr defaultRowHeight="15" x14ac:dyDescent="0.2"/>
  <cols>
    <col min="1" max="1" width="70.0859375" customWidth="1"/>
    <col min="2" max="2" width="10.22265625" customWidth="1"/>
    <col min="3" max="3" width="9.28125" customWidth="1"/>
    <col min="4" max="4" width="10.0859375" bestFit="1" customWidth="1"/>
  </cols>
  <sheetData>
    <row r="1" spans="1:5" ht="43.5" customHeight="1" x14ac:dyDescent="0.2">
      <c r="A1" t="str" cm="1">
        <f t="array" ref="A1:A15">_xlfn.UNIQUE(_xlfn._xlws.FILTER(Sheet1!C:C, Sheet1!C:C &lt;&gt;""))</f>
        <v>Nama Pusat Mengundi</v>
      </c>
      <c r="B1" s="21" t="s">
        <v>55</v>
      </c>
      <c r="C1" s="21" t="s">
        <v>56</v>
      </c>
      <c r="D1" s="21" t="s">
        <v>57</v>
      </c>
      <c r="E1" s="21" t="s">
        <v>58</v>
      </c>
    </row>
    <row r="2" spans="1:5" x14ac:dyDescent="0.2">
      <c r="A2" t="str">
        <v>UNDI POS</v>
      </c>
      <c r="B2">
        <f>COUNTIF(Sheet1!C:C,$A2)</f>
        <v>1</v>
      </c>
      <c r="C2" s="19">
        <f>SUMIFS(Sheet1!E:E,Sheet1!C:C, $A2)</f>
        <v>174</v>
      </c>
      <c r="D2" s="19">
        <f>SUMIFS(Sheet1!F:F,Sheet1!C:C, $A2)</f>
        <v>38</v>
      </c>
      <c r="E2" s="22">
        <f>SUM(D2/C2)</f>
        <v>0.21839080459770116</v>
      </c>
    </row>
    <row r="3" spans="1:5" x14ac:dyDescent="0.2">
      <c r="A3" t="str">
        <v>RUMAH KELAB IPPD KUALA SELANGOR</v>
      </c>
      <c r="B3">
        <f>COUNTIF(Sheet1!C:C,$A3)</f>
        <v>1</v>
      </c>
      <c r="C3" s="19">
        <f>SUMIFS(Sheet1!E:E,Sheet1!C:C, $A3)</f>
        <v>25</v>
      </c>
      <c r="D3" s="19">
        <f>SUMIFS(Sheet1!F:F,Sheet1!C:C, $A3)</f>
        <v>0</v>
      </c>
      <c r="E3" s="22">
        <f t="shared" ref="E3:E17" si="0">SUM(D3/C3)</f>
        <v>0</v>
      </c>
    </row>
    <row r="4" spans="1:5" x14ac:dyDescent="0.2">
      <c r="A4" t="str">
        <v>SEKOLAH KEBANGSAAN BUKIT CERAKA</v>
      </c>
      <c r="B4">
        <f>COUNTIF(Sheet1!C:C,$A4)</f>
        <v>2</v>
      </c>
      <c r="C4" s="19">
        <f>SUMIFS(Sheet1!E:E,Sheet1!C:C, $A4)</f>
        <v>955</v>
      </c>
      <c r="D4" s="19">
        <f>SUMIFS(Sheet1!F:F,Sheet1!C:C, $A4)</f>
        <v>317</v>
      </c>
      <c r="E4" s="22">
        <f t="shared" si="0"/>
        <v>0.33193717277486912</v>
      </c>
    </row>
    <row r="5" spans="1:5" x14ac:dyDescent="0.2">
      <c r="A5" t="str">
        <v>PEJABAT JKKK KAMPUNG BUKIT HIJAU</v>
      </c>
      <c r="B5">
        <f>COUNTIF(Sheet1!C:C,$A5)</f>
        <v>3</v>
      </c>
      <c r="C5" s="19">
        <f>SUMIFS(Sheet1!E:E,Sheet1!C:C, $A5)</f>
        <v>1197</v>
      </c>
      <c r="D5" s="19">
        <f>SUMIFS(Sheet1!F:F,Sheet1!C:C, $A5)</f>
        <v>188</v>
      </c>
      <c r="E5" s="22">
        <f t="shared" si="0"/>
        <v>0.15705931495405179</v>
      </c>
    </row>
    <row r="6" spans="1:5" x14ac:dyDescent="0.2">
      <c r="A6" t="str">
        <v>DEWAN ORANG RAMAI KAMPUNG BUKIT KUCHING TENGAH</v>
      </c>
      <c r="B6">
        <f>COUNTIF(Sheet1!C:C,$A6)</f>
        <v>2</v>
      </c>
      <c r="C6" s="19">
        <f>SUMIFS(Sheet1!E:E,Sheet1!C:C, $A6)</f>
        <v>678</v>
      </c>
      <c r="D6" s="19">
        <f>SUMIFS(Sheet1!F:F,Sheet1!C:C, $A6)</f>
        <v>157</v>
      </c>
      <c r="E6" s="22">
        <f t="shared" si="0"/>
        <v>0.23156342182890854</v>
      </c>
    </row>
    <row r="7" spans="1:5" x14ac:dyDescent="0.2">
      <c r="A7" t="str">
        <v>SEKOLAH KEBANGSAAN JERAM</v>
      </c>
      <c r="B7">
        <f>COUNTIF(Sheet1!C:C,$A7)</f>
        <v>3</v>
      </c>
      <c r="C7" s="19">
        <f>SUMIFS(Sheet1!E:E,Sheet1!C:C, $A7)</f>
        <v>1485</v>
      </c>
      <c r="D7" s="19">
        <f>SUMIFS(Sheet1!F:F,Sheet1!C:C, $A7)</f>
        <v>652</v>
      </c>
      <c r="E7" s="22">
        <f t="shared" si="0"/>
        <v>0.43905723905723903</v>
      </c>
    </row>
    <row r="8" spans="1:5" x14ac:dyDescent="0.2">
      <c r="A8" t="str">
        <v>SEKOLAH KEBANGSAAN JERAM BATU 20 JERAM</v>
      </c>
      <c r="B8">
        <f>COUNTIF(Sheet1!C:C,$A8)</f>
        <v>2</v>
      </c>
      <c r="C8" s="19">
        <f>SUMIFS(Sheet1!E:E,Sheet1!C:C, $A8)</f>
        <v>656</v>
      </c>
      <c r="D8" s="19">
        <f>SUMIFS(Sheet1!F:F,Sheet1!C:C, $A8)</f>
        <v>290</v>
      </c>
      <c r="E8" s="22">
        <f t="shared" si="0"/>
        <v>0.44207317073170732</v>
      </c>
    </row>
    <row r="9" spans="1:5" x14ac:dyDescent="0.2">
      <c r="A9" t="str">
        <v>SEKOLAH RENDAH JENIS KEBANGSAAN (CINA) LIAT CHOON (PUSAT) BATU 17, JERAM</v>
      </c>
      <c r="B9">
        <f>COUNTIF(Sheet1!C:C,$A9)</f>
        <v>3</v>
      </c>
      <c r="C9" s="19">
        <f>SUMIFS(Sheet1!E:E,Sheet1!C:C, $A9)</f>
        <v>1251</v>
      </c>
      <c r="D9" s="19">
        <f>SUMIFS(Sheet1!F:F,Sheet1!C:C, $A9)</f>
        <v>424</v>
      </c>
      <c r="E9" s="22">
        <f t="shared" si="0"/>
        <v>0.33892885691446845</v>
      </c>
    </row>
    <row r="10" spans="1:5" x14ac:dyDescent="0.2">
      <c r="A10" t="str">
        <v>SEKOLAH KEBANGSAAN TAMBAK JAWA</v>
      </c>
      <c r="B10">
        <f>COUNTIF(Sheet1!C:C,$A10)</f>
        <v>3</v>
      </c>
      <c r="C10" s="19">
        <f>SUMIFS(Sheet1!E:E,Sheet1!C:C, $A10)</f>
        <v>1457</v>
      </c>
      <c r="D10" s="19">
        <f>SUMIFS(Sheet1!F:F,Sheet1!C:C, $A10)</f>
        <v>769</v>
      </c>
      <c r="E10" s="22">
        <f t="shared" si="0"/>
        <v>0.52779684282772821</v>
      </c>
    </row>
    <row r="11" spans="1:5" x14ac:dyDescent="0.2">
      <c r="A11" t="str">
        <v>SEKOLAH JENIS KEBANGSAAN (TAMIL) LADANG BUKIT CHERAKA</v>
      </c>
      <c r="B11">
        <f>COUNTIF(Sheet1!C:C,$A11)</f>
        <v>2</v>
      </c>
      <c r="C11" s="19">
        <f>SUMIFS(Sheet1!E:E,Sheet1!C:C, $A11)</f>
        <v>830</v>
      </c>
      <c r="D11" s="19">
        <f>SUMIFS(Sheet1!F:F,Sheet1!C:C, $A11)</f>
        <v>470</v>
      </c>
      <c r="E11" s="22">
        <f t="shared" si="0"/>
        <v>0.5662650602409639</v>
      </c>
    </row>
    <row r="12" spans="1:5" x14ac:dyDescent="0.2">
      <c r="A12" t="str">
        <v>SEKOLAH KEBANGSAAN BUKIT KERAYONG</v>
      </c>
      <c r="B12">
        <f>COUNTIF(Sheet1!C:C,$A12)</f>
        <v>3</v>
      </c>
      <c r="C12" s="19">
        <f>SUMIFS(Sheet1!E:E,Sheet1!C:C, $A12)</f>
        <v>1339</v>
      </c>
      <c r="D12" s="19">
        <f>SUMIFS(Sheet1!F:F,Sheet1!C:C, $A12)</f>
        <v>258</v>
      </c>
      <c r="E12" s="22">
        <f t="shared" si="0"/>
        <v>0.19268110530246452</v>
      </c>
    </row>
    <row r="13" spans="1:5" x14ac:dyDescent="0.2">
      <c r="A13" t="str">
        <v>SEKOLAH RENDAH AGAMA PEKAN JERAM</v>
      </c>
      <c r="B13">
        <f>COUNTIF(Sheet1!C:C,$A13)</f>
        <v>1</v>
      </c>
      <c r="C13" s="19">
        <f>SUMIFS(Sheet1!E:E,Sheet1!C:C, $A13)</f>
        <v>477</v>
      </c>
      <c r="D13" s="19">
        <f>SUMIFS(Sheet1!F:F,Sheet1!C:C, $A13)</f>
        <v>147</v>
      </c>
      <c r="E13" s="22">
        <f t="shared" si="0"/>
        <v>0.3081761006289308</v>
      </c>
    </row>
    <row r="14" spans="1:5" x14ac:dyDescent="0.2">
      <c r="A14" t="str">
        <v>SEKOLAH KEBANGSAAN PUNCAK ALAM 2</v>
      </c>
      <c r="B14">
        <f>COUNTIF(Sheet1!C:C,$A14)</f>
        <v>8</v>
      </c>
      <c r="C14" s="19">
        <f>SUMIFS(Sheet1!E:E,Sheet1!C:C, $A14)</f>
        <v>5171</v>
      </c>
      <c r="D14" s="19">
        <f>SUMIFS(Sheet1!F:F,Sheet1!C:C, $A14)</f>
        <v>2160</v>
      </c>
      <c r="E14" s="22">
        <f t="shared" si="0"/>
        <v>0.41771417520789017</v>
      </c>
    </row>
    <row r="15" spans="1:5" x14ac:dyDescent="0.2">
      <c r="A15" t="str">
        <v>SEKOLAH JENIS KEBANGSAAN (TAMIL) LADANG TUAN MEE</v>
      </c>
      <c r="B15">
        <f>COUNTIF(Sheet1!C:C,$A15)</f>
        <v>4</v>
      </c>
      <c r="C15" s="19">
        <f>SUMIFS(Sheet1!E:E,Sheet1!C:C, $A15)</f>
        <v>1839</v>
      </c>
      <c r="D15" s="19">
        <f>SUMIFS(Sheet1!F:F,Sheet1!C:C, $A15)</f>
        <v>1217</v>
      </c>
      <c r="E15" s="22">
        <f t="shared" si="0"/>
        <v>0.66177270255573684</v>
      </c>
    </row>
    <row r="16" spans="1:5" x14ac:dyDescent="0.2">
      <c r="C16" s="19"/>
    </row>
    <row r="17" spans="3:5" x14ac:dyDescent="0.2">
      <c r="C17" s="20">
        <f>SUM(C2:C15)</f>
        <v>17534</v>
      </c>
      <c r="D17" s="20">
        <f>SUM(D2:D15)</f>
        <v>7087</v>
      </c>
      <c r="E17" s="22">
        <f t="shared" si="0"/>
        <v>0.40418615261777119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2018-06-05T05:32:33Z</cp:lastPrinted>
  <dcterms:created xsi:type="dcterms:W3CDTF">2018-06-05T05:22:39Z</dcterms:created>
  <dcterms:modified xsi:type="dcterms:W3CDTF">2018-06-05T05:34:38Z</dcterms:modified>
</cp:coreProperties>
</file>